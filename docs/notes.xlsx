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<sst xmlns="http://schemas.openxmlformats.org/spreadsheetml/2006/main" count="354" uniqueCount="186">
  <si>
    <t xml:space="preserve">X:00</t>
  </si>
  <si>
    <t xml:space="preserve">x</t>
  </si>
  <si>
    <t xml:space="preserve">o'</t>
  </si>
  <si>
    <t xml:space="preserve">clock</t>
  </si>
  <si>
    <t xml:space="preserve">X:01</t>
  </si>
  <si>
    <t xml:space="preserve">oh</t>
  </si>
  <si>
    <t xml:space="preserve">one</t>
  </si>
  <si>
    <t xml:space="preserve">when the last word, if x is 00 or 12, say "midnight" or "noon"</t>
  </si>
  <si>
    <t xml:space="preserve">Text</t>
  </si>
  <si>
    <t xml:space="preserve">X:02</t>
  </si>
  <si>
    <t xml:space="preserve">two</t>
  </si>
  <si>
    <t xml:space="preserve">so "five past noon" or "twenty till midnight"</t>
  </si>
  <si>
    <t xml:space="preserve">a</t>
  </si>
  <si>
    <t xml:space="preserve">X:03</t>
  </si>
  <si>
    <t xml:space="preserve">three</t>
  </si>
  <si>
    <t xml:space="preserve">but still "twelve o' clock" and "twelve twenty three"</t>
  </si>
  <si>
    <t xml:space="preserve">A</t>
  </si>
  <si>
    <t xml:space="preserve">X:04</t>
  </si>
  <si>
    <t xml:space="preserve">four</t>
  </si>
  <si>
    <t xml:space="preserve">b</t>
  </si>
  <si>
    <t xml:space="preserve">X:05</t>
  </si>
  <si>
    <t xml:space="preserve">five</t>
  </si>
  <si>
    <t xml:space="preserve">past</t>
  </si>
  <si>
    <t xml:space="preserve">B</t>
  </si>
  <si>
    <t xml:space="preserve">X:06</t>
  </si>
  <si>
    <t xml:space="preserve">six</t>
  </si>
  <si>
    <t xml:space="preserve">c</t>
  </si>
  <si>
    <t xml:space="preserve">X:07</t>
  </si>
  <si>
    <t xml:space="preserve">seven</t>
  </si>
  <si>
    <t xml:space="preserve">C</t>
  </si>
  <si>
    <t xml:space="preserve">X:08</t>
  </si>
  <si>
    <t xml:space="preserve">eight</t>
  </si>
  <si>
    <t xml:space="preserve">d</t>
  </si>
  <si>
    <t xml:space="preserve">X:09</t>
  </si>
  <si>
    <t xml:space="preserve">nine</t>
  </si>
  <si>
    <t xml:space="preserve">D</t>
  </si>
  <si>
    <t xml:space="preserve">X:10</t>
  </si>
  <si>
    <t xml:space="preserve">ten</t>
  </si>
  <si>
    <t xml:space="preserve">3/8</t>
  </si>
  <si>
    <t xml:space="preserve">3/4</t>
  </si>
  <si>
    <t xml:space="preserve">4/16</t>
  </si>
  <si>
    <t xml:space="preserve">e</t>
  </si>
  <si>
    <t xml:space="preserve">X:11</t>
  </si>
  <si>
    <t xml:space="preserve">eleven</t>
  </si>
  <si>
    <t xml:space="preserve">E</t>
  </si>
  <si>
    <t xml:space="preserve">X:12</t>
  </si>
  <si>
    <t xml:space="preserve">twelve</t>
  </si>
  <si>
    <t xml:space="preserve">f</t>
  </si>
  <si>
    <t xml:space="preserve">battery percentage</t>
  </si>
  <si>
    <t xml:space="preserve">X:13</t>
  </si>
  <si>
    <t xml:space="preserve">thirteen</t>
  </si>
  <si>
    <t xml:space="preserve">F</t>
  </si>
  <si>
    <t xml:space="preserve">X:14</t>
  </si>
  <si>
    <t xml:space="preserve">four-</t>
  </si>
  <si>
    <t xml:space="preserve">teen</t>
  </si>
  <si>
    <t xml:space="preserve">g</t>
  </si>
  <si>
    <t xml:space="preserve">X:15</t>
  </si>
  <si>
    <t xml:space="preserve">quarter</t>
  </si>
  <si>
    <t xml:space="preserve">G</t>
  </si>
  <si>
    <t xml:space="preserve">X:16</t>
  </si>
  <si>
    <t xml:space="preserve">six-</t>
  </si>
  <si>
    <t xml:space="preserve">h</t>
  </si>
  <si>
    <t xml:space="preserve">X:17</t>
  </si>
  <si>
    <t xml:space="preserve">seven-</t>
  </si>
  <si>
    <t xml:space="preserve">Font</t>
  </si>
  <si>
    <t xml:space="preserve">Height</t>
  </si>
  <si>
    <t xml:space="preserve">Larger Match</t>
  </si>
  <si>
    <t xml:space="preserve">H</t>
  </si>
  <si>
    <t xml:space="preserve">X:18</t>
  </si>
  <si>
    <t xml:space="preserve">eight-</t>
  </si>
  <si>
    <t xml:space="preserve">FONT_KEY_GOTHIC_14</t>
  </si>
  <si>
    <t xml:space="preserve">FONT_KEY_GOTHIC_18</t>
  </si>
  <si>
    <t xml:space="preserve">i</t>
  </si>
  <si>
    <t xml:space="preserve">X:19</t>
  </si>
  <si>
    <t xml:space="preserve">nine-</t>
  </si>
  <si>
    <t xml:space="preserve">FONT_KEY_GOTHIC_14_BOLD</t>
  </si>
  <si>
    <t xml:space="preserve">FONT_KEY_GOTHIC_18_BOLD</t>
  </si>
  <si>
    <t xml:space="preserve">I</t>
  </si>
  <si>
    <t xml:space="preserve">X:20</t>
  </si>
  <si>
    <t xml:space="preserve">twenty</t>
  </si>
  <si>
    <t xml:space="preserve">FONT_KEY_GOTHIC_24</t>
  </si>
  <si>
    <t xml:space="preserve">j</t>
  </si>
  <si>
    <t xml:space="preserve">X:21</t>
  </si>
  <si>
    <t xml:space="preserve">FONT_KEY_GOTHIC_24_BOLD</t>
  </si>
  <si>
    <t xml:space="preserve">J</t>
  </si>
  <si>
    <t xml:space="preserve">word one</t>
  </si>
  <si>
    <t xml:space="preserve">X:22</t>
  </si>
  <si>
    <t xml:space="preserve">FONT_KEY_GOTHIC_28</t>
  </si>
  <si>
    <t xml:space="preserve">k</t>
  </si>
  <si>
    <t xml:space="preserve">X:23</t>
  </si>
  <si>
    <t xml:space="preserve">FONT_KEY_GOTHIC_28_BOLD</t>
  </si>
  <si>
    <t xml:space="preserve">K</t>
  </si>
  <si>
    <t xml:space="preserve">word two</t>
  </si>
  <si>
    <t xml:space="preserve">X:24</t>
  </si>
  <si>
    <t xml:space="preserve">l</t>
  </si>
  <si>
    <t xml:space="preserve">X:25</t>
  </si>
  <si>
    <t xml:space="preserve">L</t>
  </si>
  <si>
    <t xml:space="preserve">word three</t>
  </si>
  <si>
    <t xml:space="preserve">X:26</t>
  </si>
  <si>
    <t xml:space="preserve">FONT_KEY_BITHAM_30_BLACK</t>
  </si>
  <si>
    <t xml:space="preserve">FONT_KEY_BITHAM_42_BOLD</t>
  </si>
  <si>
    <t xml:space="preserve">m</t>
  </si>
  <si>
    <t xml:space="preserve">X:27</t>
  </si>
  <si>
    <t xml:space="preserve">FONT_KEY_BITHAM_34_MEDIUM_NUMBERS</t>
  </si>
  <si>
    <t xml:space="preserve">FONT_KEY_BITHAM_42_MEDIUM_NUMBERS</t>
  </si>
  <si>
    <t xml:space="preserve">M</t>
  </si>
  <si>
    <t xml:space="preserve">X:28</t>
  </si>
  <si>
    <t xml:space="preserve">FONT_KEY_ROBOTO_BOLD_SUBSET_49</t>
  </si>
  <si>
    <t xml:space="preserve">n</t>
  </si>
  <si>
    <t xml:space="preserve">X:29</t>
  </si>
  <si>
    <t xml:space="preserve">FONT_KEY_BITHAM_42_LIGHT</t>
  </si>
  <si>
    <t xml:space="preserve">N</t>
  </si>
  <si>
    <t xml:space="preserve">0-23, no leading space</t>
  </si>
  <si>
    <t xml:space="preserve">X:30</t>
  </si>
  <si>
    <t xml:space="preserve">half</t>
  </si>
  <si>
    <t xml:space="preserve">o</t>
  </si>
  <si>
    <t xml:space="preserve">1-12, no leading space</t>
  </si>
  <si>
    <t xml:space="preserve">X:31</t>
  </si>
  <si>
    <t xml:space="preserve">thirty</t>
  </si>
  <si>
    <t xml:space="preserve">FONT_KEY_ROBOTO_CONDENSED_21</t>
  </si>
  <si>
    <t xml:space="preserve">O</t>
  </si>
  <si>
    <t xml:space="preserve">X:32</t>
  </si>
  <si>
    <t xml:space="preserve">p</t>
  </si>
  <si>
    <t xml:space="preserve">X:33</t>
  </si>
  <si>
    <t xml:space="preserve">FONT_KEY_DROID_SERIF_28_BOLD</t>
  </si>
  <si>
    <t xml:space="preserve">P</t>
  </si>
  <si>
    <t xml:space="preserve">X:34</t>
  </si>
  <si>
    <t xml:space="preserve">FONT_KEY_LECO_20_BOLD_NUMBERS</t>
  </si>
  <si>
    <t xml:space="preserve">FONT_KEY_LECO_26_BOLD_NUMBERS_AM_PM</t>
  </si>
  <si>
    <t xml:space="preserve">q</t>
  </si>
  <si>
    <t xml:space="preserve">X:35</t>
  </si>
  <si>
    <t xml:space="preserve">FONT_KEY_LECO_32_BOLD_NUMBERS</t>
  </si>
  <si>
    <t xml:space="preserve">Q</t>
  </si>
  <si>
    <t xml:space="preserve">X:36</t>
  </si>
  <si>
    <t xml:space="preserve">FONT_KEY_LECO_28_LIGHT_NUMBERS</t>
  </si>
  <si>
    <t xml:space="preserve">r</t>
  </si>
  <si>
    <t xml:space="preserve">X:37</t>
  </si>
  <si>
    <t xml:space="preserve">FONT_KEY_LECO_36_BOLD_NUMBERS</t>
  </si>
  <si>
    <t xml:space="preserve">R</t>
  </si>
  <si>
    <t xml:space="preserve">X:38</t>
  </si>
  <si>
    <t xml:space="preserve">FONT_KEY_LECO_38_BOLD_NUMBERS</t>
  </si>
  <si>
    <t xml:space="preserve">s</t>
  </si>
  <si>
    <t xml:space="preserve">X:39</t>
  </si>
  <si>
    <t xml:space="preserve">FONT_KEY_LECO_42_NUMBERS</t>
  </si>
  <si>
    <t xml:space="preserve">S</t>
  </si>
  <si>
    <t xml:space="preserve">X:40</t>
  </si>
  <si>
    <t xml:space="preserve">till</t>
  </si>
  <si>
    <t xml:space="preserve">x+1</t>
  </si>
  <si>
    <t xml:space="preserve">t</t>
  </si>
  <si>
    <t xml:space="preserve">X:41</t>
  </si>
  <si>
    <t xml:space="preserve">fourty</t>
  </si>
  <si>
    <t xml:space="preserve">FONT_KEY_LECO_60_NUMBERS_AM_PM</t>
  </si>
  <si>
    <t xml:space="preserve">T</t>
  </si>
  <si>
    <t xml:space="preserve">X:42</t>
  </si>
  <si>
    <t xml:space="preserve">FONT_KEY_LECO_60_BOLD_NUMBERS_AM_PM</t>
  </si>
  <si>
    <t xml:space="preserve">u</t>
  </si>
  <si>
    <t xml:space="preserve">current heartrate</t>
  </si>
  <si>
    <t xml:space="preserve">X:43</t>
  </si>
  <si>
    <t xml:space="preserve">U</t>
  </si>
  <si>
    <t xml:space="preserve">X:44</t>
  </si>
  <si>
    <t xml:space="preserve">v</t>
  </si>
  <si>
    <t xml:space="preserve">current steps</t>
  </si>
  <si>
    <t xml:space="preserve">X:45</t>
  </si>
  <si>
    <t xml:space="preserve">V</t>
  </si>
  <si>
    <t xml:space="preserve">X:46</t>
  </si>
  <si>
    <t xml:space="preserve">w</t>
  </si>
  <si>
    <t xml:space="preserve">X:47</t>
  </si>
  <si>
    <t xml:space="preserve">W</t>
  </si>
  <si>
    <t xml:space="preserve">X:48</t>
  </si>
  <si>
    <t xml:space="preserve">X:49</t>
  </si>
  <si>
    <t xml:space="preserve">X</t>
  </si>
  <si>
    <t xml:space="preserve">X:50</t>
  </si>
  <si>
    <t xml:space="preserve">y</t>
  </si>
  <si>
    <t xml:space="preserve">X:51</t>
  </si>
  <si>
    <t xml:space="preserve">fifty</t>
  </si>
  <si>
    <t xml:space="preserve">Y</t>
  </si>
  <si>
    <t xml:space="preserve">X:52</t>
  </si>
  <si>
    <t xml:space="preserve">z</t>
  </si>
  <si>
    <t xml:space="preserve">X:53</t>
  </si>
  <si>
    <t xml:space="preserve">Z</t>
  </si>
  <si>
    <t xml:space="preserve">X:54</t>
  </si>
  <si>
    <t xml:space="preserve">X:55</t>
  </si>
  <si>
    <t xml:space="preserve">X:56</t>
  </si>
  <si>
    <t xml:space="preserve">X:57</t>
  </si>
  <si>
    <t xml:space="preserve">X:58</t>
  </si>
  <si>
    <t xml:space="preserve">X:59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</si>
</sst>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C570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true" showRowColHeaders="true" showZeros="true" rightToLeft="false" tabSelected="true" showOutlineSymbols="true" defaultGridColor="true" view="normal" topLeftCell="E16" colorId="64" zoomScale="100" zoomScaleNormal="100" zoomScalePageLayoutView="100" workbookViewId="0">
      <selection pane="topLeft" activeCell="Q46" activeCellId="0" sqref="Q46"/>
    </sheetView>
  </sheetViews>
  <sheetFormatPr defaultColWidth="8.6171875" defaultRowHeight="15" customHeight="false" zeroHeight="false" outlineLevelRow="0" outlineLevelCol="0"/>
  <cols>
    <col collapsed="false" customWidth="true" hidden="false" outlineLevel="0" max="6" min="6" style="0" width="43"/>
    <col collapsed="false" customWidth="true" hidden="false" outlineLevel="0" max="16" min="16" style="0" width="21.64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s">
        <v>1</v>
      </c>
      <c r="C2" s="0" t="s">
        <v>5</v>
      </c>
      <c r="D2" s="0" t="s">
        <v>6</v>
      </c>
      <c r="F2" s="0" t="s">
        <v>7</v>
      </c>
      <c r="O2" s="0" t="s">
        <v>8</v>
      </c>
    </row>
    <row r="3" customFormat="false" ht="15" hidden="false" customHeight="false" outlineLevel="0" collapsed="false">
      <c r="A3" s="0" t="s">
        <v>9</v>
      </c>
      <c r="B3" s="0" t="s">
        <v>1</v>
      </c>
      <c r="C3" s="0" t="s">
        <v>5</v>
      </c>
      <c r="D3" s="0" t="s">
        <v>10</v>
      </c>
      <c r="F3" s="0" t="s">
        <v>11</v>
      </c>
      <c r="O3" s="1" t="s">
        <v>12</v>
      </c>
    </row>
    <row r="4" customFormat="false" ht="15" hidden="false" customHeight="false" outlineLevel="0" collapsed="false">
      <c r="A4" s="0" t="s">
        <v>13</v>
      </c>
      <c r="B4" s="0" t="s">
        <v>1</v>
      </c>
      <c r="C4" s="0" t="s">
        <v>5</v>
      </c>
      <c r="D4" s="0" t="s">
        <v>14</v>
      </c>
      <c r="F4" s="0" t="s">
        <v>15</v>
      </c>
      <c r="O4" s="1" t="s">
        <v>16</v>
      </c>
    </row>
    <row r="5" customFormat="false" ht="15" hidden="false" customHeight="false" outlineLevel="0" collapsed="false">
      <c r="A5" s="0" t="s">
        <v>17</v>
      </c>
      <c r="B5" s="0" t="s">
        <v>1</v>
      </c>
      <c r="C5" s="0" t="s">
        <v>5</v>
      </c>
      <c r="D5" s="0" t="s">
        <v>18</v>
      </c>
      <c r="I5" s="0" t="n">
        <v>1.35</v>
      </c>
      <c r="O5" s="1" t="s">
        <v>19</v>
      </c>
    </row>
    <row r="6" customFormat="false" ht="15" hidden="false" customHeight="false" outlineLevel="0" collapsed="false">
      <c r="A6" s="0" t="s">
        <v>20</v>
      </c>
      <c r="B6" s="0" t="s">
        <v>21</v>
      </c>
      <c r="C6" s="0" t="s">
        <v>22</v>
      </c>
      <c r="D6" s="0" t="s">
        <v>1</v>
      </c>
      <c r="F6" s="0" t="n">
        <v>144</v>
      </c>
      <c r="G6" s="0" t="n">
        <f aca="false">H6/F6</f>
        <v>1.38888888888889</v>
      </c>
      <c r="H6" s="0" t="n">
        <v>200</v>
      </c>
      <c r="I6" s="0" t="n">
        <f aca="false">F6*1.35</f>
        <v>194.4</v>
      </c>
      <c r="O6" s="1" t="s">
        <v>23</v>
      </c>
    </row>
    <row r="7" customFormat="false" ht="15" hidden="false" customHeight="false" outlineLevel="0" collapsed="false">
      <c r="A7" s="0" t="s">
        <v>24</v>
      </c>
      <c r="B7" s="0" t="s">
        <v>1</v>
      </c>
      <c r="C7" s="0" t="s">
        <v>5</v>
      </c>
      <c r="D7" s="0" t="s">
        <v>25</v>
      </c>
      <c r="F7" s="0" t="n">
        <v>168</v>
      </c>
      <c r="G7" s="0" t="n">
        <f aca="false">H7/F7</f>
        <v>1.35714285714286</v>
      </c>
      <c r="H7" s="0" t="n">
        <v>228</v>
      </c>
      <c r="I7" s="0" t="n">
        <f aca="false">F7*1.35</f>
        <v>226.8</v>
      </c>
      <c r="O7" s="1" t="s">
        <v>26</v>
      </c>
    </row>
    <row r="8" customFormat="false" ht="15" hidden="false" customHeight="false" outlineLevel="0" collapsed="false">
      <c r="A8" s="0" t="s">
        <v>27</v>
      </c>
      <c r="B8" s="0" t="s">
        <v>1</v>
      </c>
      <c r="C8" s="0" t="s">
        <v>5</v>
      </c>
      <c r="D8" s="0" t="s">
        <v>28</v>
      </c>
      <c r="O8" s="1" t="s">
        <v>29</v>
      </c>
    </row>
    <row r="9" customFormat="false" ht="15" hidden="false" customHeight="false" outlineLevel="0" collapsed="false">
      <c r="A9" s="0" t="s">
        <v>30</v>
      </c>
      <c r="B9" s="0" t="s">
        <v>1</v>
      </c>
      <c r="C9" s="0" t="s">
        <v>5</v>
      </c>
      <c r="D9" s="0" t="s">
        <v>31</v>
      </c>
      <c r="F9" s="0" t="n">
        <v>180</v>
      </c>
      <c r="G9" s="0" t="n">
        <f aca="false">H9/F9</f>
        <v>1.44444444444444</v>
      </c>
      <c r="H9" s="0" t="n">
        <v>260</v>
      </c>
      <c r="I9" s="0" t="n">
        <f aca="false">F9*1.35</f>
        <v>243</v>
      </c>
      <c r="O9" s="1" t="s">
        <v>32</v>
      </c>
    </row>
    <row r="10" customFormat="false" ht="15" hidden="false" customHeight="false" outlineLevel="0" collapsed="false">
      <c r="A10" s="0" t="s">
        <v>33</v>
      </c>
      <c r="B10" s="0" t="s">
        <v>1</v>
      </c>
      <c r="C10" s="0" t="s">
        <v>5</v>
      </c>
      <c r="D10" s="0" t="s">
        <v>34</v>
      </c>
      <c r="O10" s="1" t="s">
        <v>35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0" t="s">
        <v>22</v>
      </c>
      <c r="D11" s="0" t="s">
        <v>1</v>
      </c>
      <c r="F11" s="0" t="n">
        <f aca="false">144*168/8</f>
        <v>3024</v>
      </c>
      <c r="G11" s="0" t="n">
        <f aca="false">F11/256</f>
        <v>11.8125</v>
      </c>
      <c r="H11" s="2" t="s">
        <v>38</v>
      </c>
      <c r="I11" s="3" t="s">
        <v>39</v>
      </c>
      <c r="J11" s="2" t="s">
        <v>40</v>
      </c>
      <c r="O11" s="1" t="s">
        <v>41</v>
      </c>
    </row>
    <row r="12" customFormat="false" ht="15" hidden="false" customHeight="false" outlineLevel="0" collapsed="false">
      <c r="A12" s="0" t="s">
        <v>42</v>
      </c>
      <c r="B12" s="0" t="s">
        <v>43</v>
      </c>
      <c r="C12" s="0" t="s">
        <v>22</v>
      </c>
      <c r="D12" s="0" t="s">
        <v>1</v>
      </c>
      <c r="G12" s="0" t="n">
        <f aca="false">268*12</f>
        <v>3216</v>
      </c>
      <c r="H12" s="0" t="n">
        <f aca="false">G12*3/8</f>
        <v>1206</v>
      </c>
      <c r="I12" s="0" t="n">
        <f aca="false">G12*3/4</f>
        <v>2412</v>
      </c>
      <c r="J12" s="0" t="n">
        <f aca="false">G12*4/16</f>
        <v>804</v>
      </c>
      <c r="O12" s="1" t="s">
        <v>44</v>
      </c>
    </row>
    <row r="13" customFormat="false" ht="15" hidden="false" customHeight="false" outlineLevel="0" collapsed="false">
      <c r="A13" s="0" t="s">
        <v>45</v>
      </c>
      <c r="B13" s="0" t="s">
        <v>46</v>
      </c>
      <c r="C13" s="0" t="s">
        <v>22</v>
      </c>
      <c r="D13" s="0" t="s">
        <v>1</v>
      </c>
      <c r="F13" s="0" t="n">
        <v>4096</v>
      </c>
      <c r="G13" s="0" t="n">
        <f aca="false">F13-G12</f>
        <v>880</v>
      </c>
      <c r="I13" s="0" t="n">
        <f aca="false">(2048-804)/268</f>
        <v>4.64179104477612</v>
      </c>
      <c r="J13" s="0" t="n">
        <f aca="false">4.5*256</f>
        <v>1152</v>
      </c>
      <c r="O13" s="0" t="s">
        <v>47</v>
      </c>
      <c r="P13" s="0" t="s">
        <v>48</v>
      </c>
    </row>
    <row r="14" customFormat="false" ht="15" hidden="false" customHeight="false" outlineLevel="0" collapsed="false">
      <c r="A14" s="0" t="s">
        <v>49</v>
      </c>
      <c r="B14" s="0" t="s">
        <v>50</v>
      </c>
      <c r="C14" s="0" t="s">
        <v>22</v>
      </c>
      <c r="D14" s="0" t="s">
        <v>1</v>
      </c>
      <c r="J14" s="0" t="n">
        <f aca="false">SQRT(J13)</f>
        <v>33.9411254969543</v>
      </c>
      <c r="O14" s="1" t="s">
        <v>51</v>
      </c>
    </row>
    <row r="15" customFormat="false" ht="15" hidden="false" customHeight="false" outlineLevel="0" collapsed="false">
      <c r="A15" s="0" t="s">
        <v>52</v>
      </c>
      <c r="B15" s="0" t="s">
        <v>1</v>
      </c>
      <c r="C15" s="0" t="s">
        <v>53</v>
      </c>
      <c r="D15" s="0" t="s">
        <v>54</v>
      </c>
      <c r="F15" s="0" t="n">
        <f aca="false">260*260</f>
        <v>67600</v>
      </c>
      <c r="G15" s="0" t="n">
        <f aca="false">F15/256</f>
        <v>264.0625</v>
      </c>
      <c r="O15" s="1" t="s">
        <v>55</v>
      </c>
    </row>
    <row r="16" customFormat="false" ht="15" hidden="false" customHeight="false" outlineLevel="0" collapsed="false">
      <c r="A16" s="0" t="s">
        <v>56</v>
      </c>
      <c r="B16" s="0" t="s">
        <v>57</v>
      </c>
      <c r="C16" s="0" t="s">
        <v>22</v>
      </c>
      <c r="D16" s="0" t="s">
        <v>1</v>
      </c>
      <c r="G16" s="0" t="n">
        <f aca="false">268*265</f>
        <v>71020</v>
      </c>
      <c r="O16" s="1" t="s">
        <v>58</v>
      </c>
    </row>
    <row r="17" customFormat="false" ht="15" hidden="false" customHeight="false" outlineLevel="0" collapsed="false">
      <c r="A17" s="0" t="s">
        <v>59</v>
      </c>
      <c r="B17" s="0" t="s">
        <v>1</v>
      </c>
      <c r="C17" s="0" t="s">
        <v>60</v>
      </c>
      <c r="D17" s="0" t="s">
        <v>54</v>
      </c>
      <c r="O17" s="1" t="s">
        <v>61</v>
      </c>
    </row>
    <row r="18" customFormat="false" ht="15" hidden="false" customHeight="false" outlineLevel="0" collapsed="false">
      <c r="A18" s="0" t="s">
        <v>62</v>
      </c>
      <c r="B18" s="0" t="s">
        <v>1</v>
      </c>
      <c r="C18" s="0" t="s">
        <v>63</v>
      </c>
      <c r="D18" s="0" t="s">
        <v>54</v>
      </c>
      <c r="F18" s="0" t="s">
        <v>64</v>
      </c>
      <c r="G18" s="0" t="s">
        <v>65</v>
      </c>
      <c r="H18" s="0" t="n">
        <v>1.35</v>
      </c>
      <c r="I18" s="0" t="s">
        <v>66</v>
      </c>
      <c r="O18" s="1" t="s">
        <v>67</v>
      </c>
    </row>
    <row r="19" customFormat="false" ht="15" hidden="false" customHeight="false" outlineLevel="0" collapsed="false">
      <c r="A19" s="0" t="s">
        <v>68</v>
      </c>
      <c r="B19" s="0" t="s">
        <v>1</v>
      </c>
      <c r="C19" s="0" t="s">
        <v>69</v>
      </c>
      <c r="D19" s="0" t="s">
        <v>54</v>
      </c>
      <c r="E19" s="0" t="n">
        <v>1</v>
      </c>
      <c r="F19" s="0" t="s">
        <v>70</v>
      </c>
      <c r="G19" s="0" t="n">
        <v>14</v>
      </c>
      <c r="H19" s="0" t="n">
        <f aca="false">G19*H$18</f>
        <v>18.9</v>
      </c>
      <c r="I19" s="0" t="s">
        <v>71</v>
      </c>
      <c r="O19" s="0" t="s">
        <v>72</v>
      </c>
    </row>
    <row r="20" customFormat="false" ht="15" hidden="false" customHeight="false" outlineLevel="0" collapsed="false">
      <c r="A20" s="0" t="s">
        <v>73</v>
      </c>
      <c r="B20" s="0" t="s">
        <v>1</v>
      </c>
      <c r="C20" s="0" t="s">
        <v>74</v>
      </c>
      <c r="D20" s="0" t="s">
        <v>54</v>
      </c>
      <c r="E20" s="0" t="n">
        <v>2</v>
      </c>
      <c r="F20" s="0" t="s">
        <v>75</v>
      </c>
      <c r="G20" s="0" t="n">
        <v>14</v>
      </c>
      <c r="H20" s="0" t="n">
        <f aca="false">G20*H$18</f>
        <v>18.9</v>
      </c>
      <c r="I20" s="0" t="s">
        <v>76</v>
      </c>
      <c r="O20" s="1" t="s">
        <v>77</v>
      </c>
    </row>
    <row r="21" customFormat="false" ht="15" hidden="false" customHeight="false" outlineLevel="0" collapsed="false">
      <c r="A21" s="0" t="s">
        <v>78</v>
      </c>
      <c r="B21" s="0" t="s">
        <v>79</v>
      </c>
      <c r="C21" s="0" t="s">
        <v>22</v>
      </c>
      <c r="D21" s="0" t="s">
        <v>1</v>
      </c>
      <c r="E21" s="0" t="n">
        <v>3</v>
      </c>
      <c r="F21" s="0" t="s">
        <v>71</v>
      </c>
      <c r="G21" s="0" t="n">
        <v>18</v>
      </c>
      <c r="H21" s="0" t="n">
        <f aca="false">G21*H$18</f>
        <v>24.3</v>
      </c>
      <c r="I21" s="0" t="s">
        <v>80</v>
      </c>
      <c r="O21" s="1" t="s">
        <v>81</v>
      </c>
    </row>
    <row r="22" customFormat="false" ht="15" hidden="false" customHeight="false" outlineLevel="0" collapsed="false">
      <c r="A22" s="0" t="s">
        <v>82</v>
      </c>
      <c r="B22" s="0" t="s">
        <v>1</v>
      </c>
      <c r="C22" s="0" t="s">
        <v>79</v>
      </c>
      <c r="D22" s="0" t="s">
        <v>6</v>
      </c>
      <c r="E22" s="0" t="n">
        <v>4</v>
      </c>
      <c r="F22" s="0" t="s">
        <v>76</v>
      </c>
      <c r="G22" s="0" t="n">
        <v>18</v>
      </c>
      <c r="H22" s="0" t="n">
        <f aca="false">G22*H$18</f>
        <v>24.3</v>
      </c>
      <c r="I22" s="0" t="s">
        <v>83</v>
      </c>
      <c r="O22" s="0" t="s">
        <v>84</v>
      </c>
      <c r="P22" s="0" t="s">
        <v>85</v>
      </c>
    </row>
    <row r="23" customFormat="false" ht="15" hidden="false" customHeight="false" outlineLevel="0" collapsed="false">
      <c r="A23" s="0" t="s">
        <v>86</v>
      </c>
      <c r="B23" s="0" t="s">
        <v>1</v>
      </c>
      <c r="C23" s="0" t="s">
        <v>79</v>
      </c>
      <c r="D23" s="0" t="s">
        <v>10</v>
      </c>
      <c r="E23" s="0" t="n">
        <v>5</v>
      </c>
      <c r="F23" s="0" t="s">
        <v>80</v>
      </c>
      <c r="G23" s="0" t="n">
        <v>24</v>
      </c>
      <c r="H23" s="0" t="n">
        <f aca="false">G23*H$18</f>
        <v>32.4</v>
      </c>
      <c r="I23" s="0" t="s">
        <v>87</v>
      </c>
      <c r="O23" s="1" t="s">
        <v>88</v>
      </c>
    </row>
    <row r="24" customFormat="false" ht="15" hidden="false" customHeight="false" outlineLevel="0" collapsed="false">
      <c r="A24" s="0" t="s">
        <v>89</v>
      </c>
      <c r="B24" s="0" t="s">
        <v>1</v>
      </c>
      <c r="C24" s="0" t="s">
        <v>79</v>
      </c>
      <c r="D24" s="0" t="s">
        <v>14</v>
      </c>
      <c r="E24" s="0" t="n">
        <v>6</v>
      </c>
      <c r="F24" s="0" t="s">
        <v>83</v>
      </c>
      <c r="G24" s="0" t="n">
        <v>24</v>
      </c>
      <c r="H24" s="0" t="n">
        <f aca="false">G24*H$18</f>
        <v>32.4</v>
      </c>
      <c r="I24" s="0" t="s">
        <v>90</v>
      </c>
      <c r="O24" s="0" t="s">
        <v>91</v>
      </c>
      <c r="P24" s="0" t="s">
        <v>92</v>
      </c>
    </row>
    <row r="25" customFormat="false" ht="15" hidden="false" customHeight="false" outlineLevel="0" collapsed="false">
      <c r="A25" s="0" t="s">
        <v>93</v>
      </c>
      <c r="B25" s="0" t="s">
        <v>1</v>
      </c>
      <c r="C25" s="0" t="s">
        <v>79</v>
      </c>
      <c r="D25" s="0" t="s">
        <v>18</v>
      </c>
      <c r="E25" s="0" t="n">
        <v>7</v>
      </c>
      <c r="F25" s="0" t="s">
        <v>87</v>
      </c>
      <c r="G25" s="0" t="n">
        <v>28</v>
      </c>
      <c r="H25" s="0" t="n">
        <f aca="false">G25*H$18</f>
        <v>37.8</v>
      </c>
      <c r="O25" s="1" t="s">
        <v>94</v>
      </c>
    </row>
    <row r="26" customFormat="false" ht="15" hidden="false" customHeight="false" outlineLevel="0" collapsed="false">
      <c r="A26" s="0" t="s">
        <v>95</v>
      </c>
      <c r="B26" s="0" t="s">
        <v>1</v>
      </c>
      <c r="C26" s="0" t="s">
        <v>79</v>
      </c>
      <c r="D26" s="0" t="s">
        <v>21</v>
      </c>
      <c r="E26" s="0" t="n">
        <v>8</v>
      </c>
      <c r="F26" s="0" t="s">
        <v>90</v>
      </c>
      <c r="G26" s="0" t="n">
        <v>28</v>
      </c>
      <c r="H26" s="0" t="n">
        <f aca="false">G26*H$18</f>
        <v>37.8</v>
      </c>
      <c r="O26" s="0" t="s">
        <v>96</v>
      </c>
      <c r="P26" s="0" t="s">
        <v>97</v>
      </c>
    </row>
    <row r="27" customFormat="false" ht="15" hidden="false" customHeight="false" outlineLevel="0" collapsed="false">
      <c r="A27" s="0" t="s">
        <v>98</v>
      </c>
      <c r="B27" s="0" t="s">
        <v>1</v>
      </c>
      <c r="C27" s="0" t="s">
        <v>79</v>
      </c>
      <c r="D27" s="0" t="s">
        <v>25</v>
      </c>
      <c r="E27" s="0" t="n">
        <v>9</v>
      </c>
      <c r="F27" s="0" t="s">
        <v>99</v>
      </c>
      <c r="G27" s="0" t="n">
        <v>30</v>
      </c>
      <c r="H27" s="0" t="n">
        <f aca="false">G27*H$18</f>
        <v>40.5</v>
      </c>
      <c r="I27" s="0" t="s">
        <v>100</v>
      </c>
      <c r="O27" s="1" t="s">
        <v>101</v>
      </c>
    </row>
    <row r="28" customFormat="false" ht="15" hidden="false" customHeight="false" outlineLevel="0" collapsed="false">
      <c r="A28" s="0" t="s">
        <v>102</v>
      </c>
      <c r="B28" s="0" t="s">
        <v>1</v>
      </c>
      <c r="C28" s="0" t="s">
        <v>79</v>
      </c>
      <c r="D28" s="0" t="s">
        <v>28</v>
      </c>
      <c r="E28" s="0" t="n">
        <v>10</v>
      </c>
      <c r="F28" s="0" t="s">
        <v>103</v>
      </c>
      <c r="G28" s="0" t="n">
        <v>34</v>
      </c>
      <c r="H28" s="0" t="n">
        <f aca="false">G28*H$18</f>
        <v>45.9</v>
      </c>
      <c r="I28" s="0" t="s">
        <v>104</v>
      </c>
      <c r="O28" s="1" t="s">
        <v>105</v>
      </c>
    </row>
    <row r="29" customFormat="false" ht="15" hidden="false" customHeight="false" outlineLevel="0" collapsed="false">
      <c r="A29" s="0" t="s">
        <v>106</v>
      </c>
      <c r="B29" s="0" t="s">
        <v>1</v>
      </c>
      <c r="C29" s="0" t="s">
        <v>79</v>
      </c>
      <c r="D29" s="0" t="s">
        <v>31</v>
      </c>
      <c r="E29" s="0" t="n">
        <v>11</v>
      </c>
      <c r="F29" s="0" t="s">
        <v>100</v>
      </c>
      <c r="G29" s="0" t="n">
        <v>42</v>
      </c>
      <c r="H29" s="0" t="n">
        <f aca="false">G29*H$18</f>
        <v>56.7</v>
      </c>
      <c r="I29" s="0" t="s">
        <v>107</v>
      </c>
      <c r="O29" s="1" t="s">
        <v>108</v>
      </c>
    </row>
    <row r="30" customFormat="false" ht="15" hidden="false" customHeight="false" outlineLevel="0" collapsed="false">
      <c r="A30" s="0" t="s">
        <v>109</v>
      </c>
      <c r="B30" s="0" t="s">
        <v>1</v>
      </c>
      <c r="C30" s="0" t="s">
        <v>79</v>
      </c>
      <c r="D30" s="0" t="s">
        <v>34</v>
      </c>
      <c r="E30" s="0" t="n">
        <v>12</v>
      </c>
      <c r="F30" s="0" t="s">
        <v>110</v>
      </c>
      <c r="G30" s="0" t="n">
        <v>42</v>
      </c>
      <c r="H30" s="0" t="n">
        <f aca="false">G30*H$18</f>
        <v>56.7</v>
      </c>
      <c r="I30" s="0" t="s">
        <v>107</v>
      </c>
      <c r="O30" s="0" t="s">
        <v>111</v>
      </c>
      <c r="P30" s="0" t="s">
        <v>112</v>
      </c>
    </row>
    <row r="31" customFormat="false" ht="15" hidden="false" customHeight="false" outlineLevel="0" collapsed="false">
      <c r="A31" s="0" t="s">
        <v>113</v>
      </c>
      <c r="B31" s="0" t="s">
        <v>114</v>
      </c>
      <c r="C31" s="0" t="s">
        <v>22</v>
      </c>
      <c r="D31" s="0" t="s">
        <v>1</v>
      </c>
      <c r="E31" s="0" t="n">
        <v>13</v>
      </c>
      <c r="F31" s="0" t="s">
        <v>104</v>
      </c>
      <c r="G31" s="0" t="n">
        <v>42</v>
      </c>
      <c r="H31" s="0" t="n">
        <f aca="false">G31*H$18</f>
        <v>56.7</v>
      </c>
      <c r="I31" s="0" t="s">
        <v>107</v>
      </c>
      <c r="O31" s="0" t="s">
        <v>115</v>
      </c>
      <c r="P31" s="0" t="s">
        <v>116</v>
      </c>
    </row>
    <row r="32" customFormat="false" ht="15" hidden="false" customHeight="false" outlineLevel="0" collapsed="false">
      <c r="A32" s="0" t="s">
        <v>117</v>
      </c>
      <c r="B32" s="0" t="s">
        <v>1</v>
      </c>
      <c r="C32" s="0" t="s">
        <v>118</v>
      </c>
      <c r="D32" s="0" t="s">
        <v>6</v>
      </c>
      <c r="E32" s="0" t="n">
        <v>14</v>
      </c>
      <c r="F32" s="0" t="s">
        <v>119</v>
      </c>
      <c r="G32" s="0" t="n">
        <v>21</v>
      </c>
      <c r="H32" s="0" t="n">
        <f aca="false">G32*H$18</f>
        <v>28.35</v>
      </c>
      <c r="I32" s="0" t="s">
        <v>87</v>
      </c>
      <c r="O32" s="1" t="s">
        <v>120</v>
      </c>
    </row>
    <row r="33" customFormat="false" ht="15" hidden="false" customHeight="false" outlineLevel="0" collapsed="false">
      <c r="A33" s="0" t="s">
        <v>121</v>
      </c>
      <c r="B33" s="0" t="s">
        <v>1</v>
      </c>
      <c r="C33" s="0" t="s">
        <v>118</v>
      </c>
      <c r="D33" s="0" t="s">
        <v>10</v>
      </c>
      <c r="E33" s="0" t="n">
        <v>15</v>
      </c>
      <c r="F33" s="0" t="s">
        <v>107</v>
      </c>
      <c r="G33" s="0" t="n">
        <v>49</v>
      </c>
      <c r="H33" s="0" t="n">
        <f aca="false">G33*H$18</f>
        <v>66.15</v>
      </c>
      <c r="O33" s="1" t="s">
        <v>122</v>
      </c>
    </row>
    <row r="34" customFormat="false" ht="15" hidden="false" customHeight="false" outlineLevel="0" collapsed="false">
      <c r="A34" s="0" t="s">
        <v>123</v>
      </c>
      <c r="B34" s="0" t="s">
        <v>1</v>
      </c>
      <c r="C34" s="0" t="s">
        <v>118</v>
      </c>
      <c r="D34" s="0" t="s">
        <v>14</v>
      </c>
      <c r="E34" s="0" t="n">
        <v>16</v>
      </c>
      <c r="F34" s="0" t="s">
        <v>124</v>
      </c>
      <c r="G34" s="0" t="n">
        <v>28</v>
      </c>
      <c r="H34" s="0" t="n">
        <f aca="false">G34*H$18</f>
        <v>37.8</v>
      </c>
      <c r="O34" s="1" t="s">
        <v>125</v>
      </c>
    </row>
    <row r="35" customFormat="false" ht="15" hidden="false" customHeight="false" outlineLevel="0" collapsed="false">
      <c r="A35" s="0" t="s">
        <v>126</v>
      </c>
      <c r="B35" s="0" t="s">
        <v>1</v>
      </c>
      <c r="C35" s="0" t="s">
        <v>118</v>
      </c>
      <c r="D35" s="0" t="s">
        <v>18</v>
      </c>
      <c r="E35" s="0" t="n">
        <v>17</v>
      </c>
      <c r="F35" s="0" t="s">
        <v>127</v>
      </c>
      <c r="G35" s="0" t="n">
        <v>20</v>
      </c>
      <c r="H35" s="0" t="n">
        <f aca="false">G35*H$18</f>
        <v>27</v>
      </c>
      <c r="I35" s="0" t="s">
        <v>128</v>
      </c>
      <c r="O35" s="0" t="s">
        <v>129</v>
      </c>
    </row>
    <row r="36" customFormat="false" ht="15" hidden="false" customHeight="false" outlineLevel="0" collapsed="false">
      <c r="A36" s="0" t="s">
        <v>130</v>
      </c>
      <c r="B36" s="0" t="s">
        <v>1</v>
      </c>
      <c r="C36" s="0" t="s">
        <v>118</v>
      </c>
      <c r="D36" s="0" t="s">
        <v>21</v>
      </c>
      <c r="E36" s="0" t="n">
        <v>18</v>
      </c>
      <c r="F36" s="0" t="s">
        <v>128</v>
      </c>
      <c r="G36" s="0" t="n">
        <v>26</v>
      </c>
      <c r="H36" s="0" t="n">
        <f aca="false">G36*H$18</f>
        <v>35.1</v>
      </c>
      <c r="I36" s="0" t="s">
        <v>131</v>
      </c>
      <c r="O36" s="0" t="s">
        <v>132</v>
      </c>
    </row>
    <row r="37" customFormat="false" ht="15" hidden="false" customHeight="false" outlineLevel="0" collapsed="false">
      <c r="A37" s="0" t="s">
        <v>133</v>
      </c>
      <c r="B37" s="0" t="s">
        <v>1</v>
      </c>
      <c r="C37" s="0" t="s">
        <v>118</v>
      </c>
      <c r="D37" s="0" t="s">
        <v>25</v>
      </c>
      <c r="E37" s="0" t="n">
        <v>19</v>
      </c>
      <c r="F37" s="0" t="s">
        <v>134</v>
      </c>
      <c r="G37" s="0" t="n">
        <v>28</v>
      </c>
      <c r="H37" s="0" t="n">
        <f aca="false">G37*H$18</f>
        <v>37.8</v>
      </c>
      <c r="I37" s="0" t="s">
        <v>131</v>
      </c>
      <c r="O37" s="1" t="s">
        <v>135</v>
      </c>
    </row>
    <row r="38" customFormat="false" ht="15" hidden="false" customHeight="false" outlineLevel="0" collapsed="false">
      <c r="A38" s="0" t="s">
        <v>136</v>
      </c>
      <c r="B38" s="0" t="s">
        <v>1</v>
      </c>
      <c r="C38" s="0" t="s">
        <v>118</v>
      </c>
      <c r="D38" s="0" t="s">
        <v>28</v>
      </c>
      <c r="E38" s="0" t="n">
        <v>20</v>
      </c>
      <c r="F38" s="0" t="s">
        <v>131</v>
      </c>
      <c r="G38" s="0" t="n">
        <v>32</v>
      </c>
      <c r="H38" s="0" t="n">
        <f aca="false">G38*H$18</f>
        <v>43.2</v>
      </c>
      <c r="I38" s="0" t="s">
        <v>137</v>
      </c>
      <c r="O38" s="1" t="s">
        <v>138</v>
      </c>
    </row>
    <row r="39" customFormat="false" ht="15" hidden="false" customHeight="false" outlineLevel="0" collapsed="false">
      <c r="A39" s="0" t="s">
        <v>139</v>
      </c>
      <c r="B39" s="0" t="s">
        <v>1</v>
      </c>
      <c r="C39" s="0" t="s">
        <v>118</v>
      </c>
      <c r="D39" s="0" t="s">
        <v>31</v>
      </c>
      <c r="E39" s="0" t="n">
        <v>21</v>
      </c>
      <c r="F39" s="0" t="s">
        <v>137</v>
      </c>
      <c r="G39" s="0" t="n">
        <v>36</v>
      </c>
      <c r="H39" s="0" t="n">
        <f aca="false">G39*H$18</f>
        <v>48.6</v>
      </c>
      <c r="I39" s="0" t="s">
        <v>140</v>
      </c>
      <c r="O39" s="1" t="s">
        <v>141</v>
      </c>
    </row>
    <row r="40" customFormat="false" ht="15" hidden="false" customHeight="false" outlineLevel="0" collapsed="false">
      <c r="A40" s="0" t="s">
        <v>142</v>
      </c>
      <c r="B40" s="0" t="s">
        <v>1</v>
      </c>
      <c r="C40" s="0" t="s">
        <v>118</v>
      </c>
      <c r="D40" s="0" t="s">
        <v>34</v>
      </c>
      <c r="E40" s="0" t="n">
        <v>22</v>
      </c>
      <c r="F40" s="0" t="s">
        <v>140</v>
      </c>
      <c r="G40" s="0" t="n">
        <v>38</v>
      </c>
      <c r="H40" s="0" t="n">
        <f aca="false">G40*H$18</f>
        <v>51.3</v>
      </c>
      <c r="I40" s="0" t="s">
        <v>143</v>
      </c>
      <c r="O40" s="1" t="s">
        <v>144</v>
      </c>
    </row>
    <row r="41" customFormat="false" ht="15" hidden="false" customHeight="false" outlineLevel="0" collapsed="false">
      <c r="A41" s="0" t="s">
        <v>145</v>
      </c>
      <c r="B41" s="0" t="s">
        <v>79</v>
      </c>
      <c r="C41" s="3" t="s">
        <v>146</v>
      </c>
      <c r="D41" s="0" t="s">
        <v>147</v>
      </c>
      <c r="E41" s="0" t="n">
        <v>23</v>
      </c>
      <c r="F41" s="0" t="s">
        <v>143</v>
      </c>
      <c r="G41" s="0" t="n">
        <v>42</v>
      </c>
      <c r="H41" s="0" t="n">
        <f aca="false">G41*H$18</f>
        <v>56.7</v>
      </c>
      <c r="I41" s="0" t="s">
        <v>143</v>
      </c>
      <c r="O41" s="1" t="s">
        <v>148</v>
      </c>
    </row>
    <row r="42" customFormat="false" ht="15" hidden="false" customHeight="false" outlineLevel="0" collapsed="false">
      <c r="A42" s="0" t="s">
        <v>149</v>
      </c>
      <c r="B42" s="0" t="s">
        <v>1</v>
      </c>
      <c r="C42" s="0" t="s">
        <v>150</v>
      </c>
      <c r="D42" s="0" t="s">
        <v>6</v>
      </c>
      <c r="E42" s="0" t="n">
        <v>24</v>
      </c>
      <c r="F42" s="0" t="s">
        <v>151</v>
      </c>
      <c r="G42" s="0" t="n">
        <v>60</v>
      </c>
      <c r="H42" s="0" t="n">
        <f aca="false">G42*H$18</f>
        <v>81</v>
      </c>
      <c r="O42" s="1" t="s">
        <v>152</v>
      </c>
    </row>
    <row r="43" customFormat="false" ht="15" hidden="false" customHeight="false" outlineLevel="0" collapsed="false">
      <c r="A43" s="0" t="s">
        <v>153</v>
      </c>
      <c r="B43" s="0" t="s">
        <v>1</v>
      </c>
      <c r="C43" s="0" t="s">
        <v>150</v>
      </c>
      <c r="D43" s="0" t="s">
        <v>10</v>
      </c>
      <c r="E43" s="0" t="n">
        <v>25</v>
      </c>
      <c r="F43" s="0" t="s">
        <v>154</v>
      </c>
      <c r="G43" s="0" t="n">
        <v>60</v>
      </c>
      <c r="H43" s="0" t="n">
        <f aca="false">G43*H$18</f>
        <v>81</v>
      </c>
      <c r="O43" s="0" t="s">
        <v>155</v>
      </c>
      <c r="P43" s="0" t="s">
        <v>156</v>
      </c>
    </row>
    <row r="44" customFormat="false" ht="15" hidden="false" customHeight="false" outlineLevel="0" collapsed="false">
      <c r="A44" s="0" t="s">
        <v>157</v>
      </c>
      <c r="B44" s="0" t="s">
        <v>1</v>
      </c>
      <c r="C44" s="0" t="s">
        <v>150</v>
      </c>
      <c r="D44" s="0" t="s">
        <v>14</v>
      </c>
      <c r="O44" s="1" t="s">
        <v>158</v>
      </c>
    </row>
    <row r="45" customFormat="false" ht="15" hidden="false" customHeight="false" outlineLevel="0" collapsed="false">
      <c r="A45" s="0" t="s">
        <v>159</v>
      </c>
      <c r="B45" s="0" t="s">
        <v>1</v>
      </c>
      <c r="C45" s="0" t="s">
        <v>150</v>
      </c>
      <c r="D45" s="0" t="s">
        <v>18</v>
      </c>
      <c r="O45" s="0" t="s">
        <v>160</v>
      </c>
      <c r="P45" s="0" t="s">
        <v>161</v>
      </c>
    </row>
    <row r="46" customFormat="false" ht="15" hidden="false" customHeight="false" outlineLevel="0" collapsed="false">
      <c r="A46" s="0" t="s">
        <v>162</v>
      </c>
      <c r="B46" s="0" t="s">
        <v>57</v>
      </c>
      <c r="C46" s="3" t="s">
        <v>146</v>
      </c>
      <c r="D46" s="0" t="s">
        <v>147</v>
      </c>
      <c r="O46" s="1" t="s">
        <v>163</v>
      </c>
    </row>
    <row r="47" customFormat="false" ht="15" hidden="false" customHeight="false" outlineLevel="0" collapsed="false">
      <c r="A47" s="0" t="s">
        <v>164</v>
      </c>
      <c r="B47" s="0" t="s">
        <v>1</v>
      </c>
      <c r="C47" s="0" t="s">
        <v>150</v>
      </c>
      <c r="D47" s="0" t="s">
        <v>25</v>
      </c>
      <c r="O47" s="1" t="s">
        <v>165</v>
      </c>
    </row>
    <row r="48" customFormat="false" ht="15" hidden="false" customHeight="false" outlineLevel="0" collapsed="false">
      <c r="A48" s="0" t="s">
        <v>166</v>
      </c>
      <c r="B48" s="0" t="s">
        <v>1</v>
      </c>
      <c r="C48" s="0" t="s">
        <v>150</v>
      </c>
      <c r="D48" s="0" t="s">
        <v>28</v>
      </c>
      <c r="O48" s="1" t="s">
        <v>167</v>
      </c>
    </row>
    <row r="49" customFormat="false" ht="15" hidden="false" customHeight="false" outlineLevel="0" collapsed="false">
      <c r="A49" s="0" t="s">
        <v>168</v>
      </c>
      <c r="B49" s="0" t="s">
        <v>1</v>
      </c>
      <c r="C49" s="0" t="s">
        <v>150</v>
      </c>
      <c r="D49" s="0" t="s">
        <v>31</v>
      </c>
      <c r="O49" s="1" t="s">
        <v>1</v>
      </c>
    </row>
    <row r="50" customFormat="false" ht="15" hidden="false" customHeight="false" outlineLevel="0" collapsed="false">
      <c r="A50" s="0" t="s">
        <v>169</v>
      </c>
      <c r="B50" s="0" t="s">
        <v>1</v>
      </c>
      <c r="C50" s="0" t="s">
        <v>150</v>
      </c>
      <c r="D50" s="0" t="s">
        <v>34</v>
      </c>
      <c r="O50" s="1" t="s">
        <v>170</v>
      </c>
    </row>
    <row r="51" customFormat="false" ht="15" hidden="false" customHeight="false" outlineLevel="0" collapsed="false">
      <c r="A51" s="0" t="s">
        <v>171</v>
      </c>
      <c r="B51" s="0" t="s">
        <v>37</v>
      </c>
      <c r="C51" s="3" t="s">
        <v>146</v>
      </c>
      <c r="D51" s="0" t="s">
        <v>147</v>
      </c>
      <c r="O51" s="1" t="s">
        <v>172</v>
      </c>
    </row>
    <row r="52" customFormat="false" ht="15" hidden="false" customHeight="false" outlineLevel="0" collapsed="false">
      <c r="A52" s="0" t="s">
        <v>173</v>
      </c>
      <c r="B52" s="0" t="s">
        <v>1</v>
      </c>
      <c r="C52" s="0" t="s">
        <v>174</v>
      </c>
      <c r="D52" s="0" t="s">
        <v>6</v>
      </c>
      <c r="O52" s="1" t="s">
        <v>175</v>
      </c>
    </row>
    <row r="53" customFormat="false" ht="15" hidden="false" customHeight="false" outlineLevel="0" collapsed="false">
      <c r="A53" s="0" t="s">
        <v>176</v>
      </c>
      <c r="B53" s="0" t="s">
        <v>1</v>
      </c>
      <c r="C53" s="0" t="s">
        <v>174</v>
      </c>
      <c r="D53" s="0" t="s">
        <v>10</v>
      </c>
      <c r="O53" s="1" t="s">
        <v>177</v>
      </c>
    </row>
    <row r="54" customFormat="false" ht="15" hidden="false" customHeight="false" outlineLevel="0" collapsed="false">
      <c r="A54" s="0" t="s">
        <v>178</v>
      </c>
      <c r="B54" s="0" t="s">
        <v>1</v>
      </c>
      <c r="C54" s="0" t="s">
        <v>174</v>
      </c>
      <c r="D54" s="0" t="s">
        <v>14</v>
      </c>
      <c r="O54" s="1" t="s">
        <v>179</v>
      </c>
    </row>
    <row r="55" customFormat="false" ht="15" hidden="false" customHeight="false" outlineLevel="0" collapsed="false">
      <c r="A55" s="0" t="s">
        <v>180</v>
      </c>
      <c r="B55" s="0" t="s">
        <v>1</v>
      </c>
      <c r="C55" s="0" t="s">
        <v>174</v>
      </c>
      <c r="D55" s="0" t="s">
        <v>18</v>
      </c>
    </row>
    <row r="56" customFormat="false" ht="15" hidden="false" customHeight="false" outlineLevel="0" collapsed="false">
      <c r="A56" s="0" t="s">
        <v>181</v>
      </c>
      <c r="B56" s="0" t="s">
        <v>21</v>
      </c>
      <c r="C56" s="3" t="s">
        <v>146</v>
      </c>
      <c r="D56" s="0" t="s">
        <v>147</v>
      </c>
    </row>
    <row r="57" customFormat="false" ht="15" hidden="false" customHeight="false" outlineLevel="0" collapsed="false">
      <c r="A57" s="0" t="s">
        <v>182</v>
      </c>
      <c r="B57" s="0" t="s">
        <v>1</v>
      </c>
      <c r="C57" s="0" t="s">
        <v>174</v>
      </c>
      <c r="D57" s="0" t="s">
        <v>25</v>
      </c>
    </row>
    <row r="58" customFormat="false" ht="15" hidden="false" customHeight="false" outlineLevel="0" collapsed="false">
      <c r="A58" s="0" t="s">
        <v>183</v>
      </c>
      <c r="B58" s="0" t="s">
        <v>1</v>
      </c>
      <c r="C58" s="0" t="s">
        <v>174</v>
      </c>
      <c r="D58" s="0" t="s">
        <v>28</v>
      </c>
    </row>
    <row r="59" customFormat="false" ht="15" hidden="false" customHeight="false" outlineLevel="0" collapsed="false">
      <c r="A59" s="0" t="s">
        <v>184</v>
      </c>
      <c r="B59" s="0" t="s">
        <v>1</v>
      </c>
      <c r="C59" s="0" t="s">
        <v>174</v>
      </c>
      <c r="D59" s="0" t="s">
        <v>31</v>
      </c>
    </row>
    <row r="60" customFormat="false" ht="15" hidden="false" customHeight="false" outlineLevel="0" collapsed="false">
      <c r="A60" s="0" t="s">
        <v>185</v>
      </c>
      <c r="B60" s="0" t="s">
        <v>1</v>
      </c>
      <c r="C60" s="0" t="s">
        <v>174</v>
      </c>
      <c r="D60" s="0" t="s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2026-07-06T19:02:40Z</dcterms:created>
  <dc:creator>Kiser, Noah</dc:creator>
  <dc:description/>
  <dc:language>en-US</dc:language>
  <cp:lastModifiedBy/>
  <dcterms:modified xsi:type="dcterms:W3CDTF">2026-07-10T20:59:28Z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