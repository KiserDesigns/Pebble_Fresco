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kiser\Documents\Pebble_Fresco\docs\"/>
    </mc:Choice>
  </mc:AlternateContent>
  <xr:revisionPtr revIDLastSave="0" documentId="13_ncr:1_{C5A175DB-7DFF-4A61-A1CE-ADE6641F895A}" xr6:coauthVersionLast="47" xr6:coauthVersionMax="47" xr10:uidLastSave="{00000000-0000-0000-0000-000000000000}"/>
  <bookViews>
    <workbookView xWindow="-105" yWindow="1965" windowWidth="21600" windowHeight="12645" tabRatio="500" xr2:uid="{00000000-000D-0000-FFFF-FFFF00000000}"/>
  </bookViews>
  <sheets>
    <sheet name="time_text" sheetId="1" r:id="rId1"/>
    <sheet name="rectang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3" i="1" l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G16" i="1"/>
  <c r="F15" i="1"/>
  <c r="G15" i="1" s="1"/>
  <c r="J13" i="1"/>
  <c r="J14" i="1" s="1"/>
  <c r="I13" i="1"/>
  <c r="G12" i="1"/>
  <c r="J12" i="1" s="1"/>
  <c r="F11" i="1"/>
  <c r="G11" i="1" s="1"/>
  <c r="I9" i="1"/>
  <c r="G9" i="1"/>
  <c r="I7" i="1"/>
  <c r="G7" i="1"/>
  <c r="I6" i="1"/>
  <c r="G6" i="1"/>
  <c r="I12" i="1" l="1"/>
  <c r="G13" i="1"/>
  <c r="H12" i="1"/>
</calcChain>
</file>

<file path=xl/sharedStrings.xml><?xml version="1.0" encoding="utf-8"?>
<sst xmlns="http://schemas.openxmlformats.org/spreadsheetml/2006/main" count="482" uniqueCount="298">
  <si>
    <t>X:00</t>
  </si>
  <si>
    <t>x</t>
  </si>
  <si>
    <t>o'</t>
  </si>
  <si>
    <t>clock</t>
  </si>
  <si>
    <t>X:01</t>
  </si>
  <si>
    <t>oh</t>
  </si>
  <si>
    <t>one</t>
  </si>
  <si>
    <t>when the last word, if x is 00 or 12, say "midnight" or "noon"</t>
  </si>
  <si>
    <t>Text</t>
  </si>
  <si>
    <t>X:02</t>
  </si>
  <si>
    <t>two</t>
  </si>
  <si>
    <t>so "five past noon" or "twenty till midnight"</t>
  </si>
  <si>
    <t>a</t>
  </si>
  <si>
    <t>X:03</t>
  </si>
  <si>
    <t>three</t>
  </si>
  <si>
    <t>but still "twelve o' clock" and "twelve twenty three"</t>
  </si>
  <si>
    <t>A</t>
  </si>
  <si>
    <t>X:04</t>
  </si>
  <si>
    <t>four</t>
  </si>
  <si>
    <t>b</t>
  </si>
  <si>
    <t>X:05</t>
  </si>
  <si>
    <t>five</t>
  </si>
  <si>
    <t>past</t>
  </si>
  <si>
    <t>B</t>
  </si>
  <si>
    <t>X:06</t>
  </si>
  <si>
    <t>six</t>
  </si>
  <si>
    <t>c</t>
  </si>
  <si>
    <t>X:07</t>
  </si>
  <si>
    <t>seven</t>
  </si>
  <si>
    <t>C</t>
  </si>
  <si>
    <t>X:08</t>
  </si>
  <si>
    <t>eight</t>
  </si>
  <si>
    <t>d</t>
  </si>
  <si>
    <t>X:09</t>
  </si>
  <si>
    <t>nine</t>
  </si>
  <si>
    <t>D</t>
  </si>
  <si>
    <t>X:10</t>
  </si>
  <si>
    <t>ten</t>
  </si>
  <si>
    <t>3/8</t>
  </si>
  <si>
    <t>3/4</t>
  </si>
  <si>
    <t>4/16</t>
  </si>
  <si>
    <t>e</t>
  </si>
  <si>
    <t>X:11</t>
  </si>
  <si>
    <t>eleven</t>
  </si>
  <si>
    <t>E</t>
  </si>
  <si>
    <t>X:12</t>
  </si>
  <si>
    <t>twelve</t>
  </si>
  <si>
    <t>f</t>
  </si>
  <si>
    <t>battery percentage</t>
  </si>
  <si>
    <t>X:13</t>
  </si>
  <si>
    <t>thirteen</t>
  </si>
  <si>
    <t>F</t>
  </si>
  <si>
    <t>X:14</t>
  </si>
  <si>
    <t>four-</t>
  </si>
  <si>
    <t>teen</t>
  </si>
  <si>
    <t>g</t>
  </si>
  <si>
    <t>X:15</t>
  </si>
  <si>
    <t>quarter</t>
  </si>
  <si>
    <t>G</t>
  </si>
  <si>
    <t>X:16</t>
  </si>
  <si>
    <t>six-</t>
  </si>
  <si>
    <t>h</t>
  </si>
  <si>
    <t>X:17</t>
  </si>
  <si>
    <t>seven-</t>
  </si>
  <si>
    <t>Font</t>
  </si>
  <si>
    <t>Height</t>
  </si>
  <si>
    <t>Larger Match</t>
  </si>
  <si>
    <t>H</t>
  </si>
  <si>
    <t>X:18</t>
  </si>
  <si>
    <t>eight-</t>
  </si>
  <si>
    <t>FONT_KEY_GOTHIC_14</t>
  </si>
  <si>
    <t>FONT_KEY_GOTHIC_18</t>
  </si>
  <si>
    <t>i</t>
  </si>
  <si>
    <t>X:19</t>
  </si>
  <si>
    <t>nine-</t>
  </si>
  <si>
    <t>FONT_KEY_GOTHIC_14_BOLD</t>
  </si>
  <si>
    <t>FONT_KEY_GOTHIC_18_BOLD</t>
  </si>
  <si>
    <t>I</t>
  </si>
  <si>
    <t>X:20</t>
  </si>
  <si>
    <t>twenty</t>
  </si>
  <si>
    <t>FONT_KEY_GOTHIC_24</t>
  </si>
  <si>
    <t>j</t>
  </si>
  <si>
    <t>X:21</t>
  </si>
  <si>
    <t>FONT_KEY_GOTHIC_24_BOLD</t>
  </si>
  <si>
    <t>J</t>
  </si>
  <si>
    <t>X:22</t>
  </si>
  <si>
    <t>FONT_KEY_GOTHIC_28</t>
  </si>
  <si>
    <t>k</t>
  </si>
  <si>
    <t>X:23</t>
  </si>
  <si>
    <t>FONT_KEY_GOTHIC_28_BOLD</t>
  </si>
  <si>
    <t>K</t>
  </si>
  <si>
    <t>X:24</t>
  </si>
  <si>
    <t>l</t>
  </si>
  <si>
    <t>X:25</t>
  </si>
  <si>
    <t>L</t>
  </si>
  <si>
    <t>X:26</t>
  </si>
  <si>
    <t>FONT_KEY_BITHAM_30_BLACK</t>
  </si>
  <si>
    <t>FONT_KEY_BITHAM_42_BOLD</t>
  </si>
  <si>
    <t>m</t>
  </si>
  <si>
    <t>X:27</t>
  </si>
  <si>
    <t>FONT_KEY_BITHAM_34_MEDIUM_NUMBERS</t>
  </si>
  <si>
    <t>FONT_KEY_BITHAM_42_MEDIUM_NUMBERS</t>
  </si>
  <si>
    <t>M</t>
  </si>
  <si>
    <t>X:28</t>
  </si>
  <si>
    <t>FONT_KEY_ROBOTO_BOLD_SUBSET_49</t>
  </si>
  <si>
    <t>n</t>
  </si>
  <si>
    <t>X:29</t>
  </si>
  <si>
    <t>FONT_KEY_BITHAM_42_LIGHT</t>
  </si>
  <si>
    <t>N</t>
  </si>
  <si>
    <t>X:30</t>
  </si>
  <si>
    <t>half</t>
  </si>
  <si>
    <t>o</t>
  </si>
  <si>
    <t>X:31</t>
  </si>
  <si>
    <t>thirty</t>
  </si>
  <si>
    <t>FONT_KEY_ROBOTO_CONDENSED_21</t>
  </si>
  <si>
    <t>O</t>
  </si>
  <si>
    <t>X:32</t>
  </si>
  <si>
    <t>p</t>
  </si>
  <si>
    <t>X:33</t>
  </si>
  <si>
    <t>FONT_KEY_DROID_SERIF_28_BOLD</t>
  </si>
  <si>
    <t>P</t>
  </si>
  <si>
    <t>X:34</t>
  </si>
  <si>
    <t>FONT_KEY_LECO_20_BOLD_NUMBERS</t>
  </si>
  <si>
    <t>FONT_KEY_LECO_26_BOLD_NUMBERS_AM_PM</t>
  </si>
  <si>
    <t>q</t>
  </si>
  <si>
    <t>X:35</t>
  </si>
  <si>
    <t>FONT_KEY_LECO_32_BOLD_NUMBERS</t>
  </si>
  <si>
    <t>Q</t>
  </si>
  <si>
    <t>X:36</t>
  </si>
  <si>
    <t>FONT_KEY_LECO_28_LIGHT_NUMBERS</t>
  </si>
  <si>
    <t>r</t>
  </si>
  <si>
    <t>X:37</t>
  </si>
  <si>
    <t>FONT_KEY_LECO_36_BOLD_NUMBERS</t>
  </si>
  <si>
    <t>R</t>
  </si>
  <si>
    <t>X:38</t>
  </si>
  <si>
    <t>FONT_KEY_LECO_38_BOLD_NUMBERS</t>
  </si>
  <si>
    <t>s</t>
  </si>
  <si>
    <t>X:39</t>
  </si>
  <si>
    <t>FONT_KEY_LECO_42_NUMBERS</t>
  </si>
  <si>
    <t>S</t>
  </si>
  <si>
    <t>X:40</t>
  </si>
  <si>
    <t>till</t>
  </si>
  <si>
    <t>x+1</t>
  </si>
  <si>
    <t>t</t>
  </si>
  <si>
    <t>X:41</t>
  </si>
  <si>
    <t>fourty</t>
  </si>
  <si>
    <t>FONT_KEY_LECO_60_NUMBERS_AM_PM</t>
  </si>
  <si>
    <t>T</t>
  </si>
  <si>
    <t>X:42</t>
  </si>
  <si>
    <t>FONT_KEY_LECO_60_BOLD_NUMBERS_AM_PM</t>
  </si>
  <si>
    <t>u</t>
  </si>
  <si>
    <t>current heartrate</t>
  </si>
  <si>
    <t>X:43</t>
  </si>
  <si>
    <t>U</t>
  </si>
  <si>
    <t>X:44</t>
  </si>
  <si>
    <t>v</t>
  </si>
  <si>
    <t>X:45</t>
  </si>
  <si>
    <t>V</t>
  </si>
  <si>
    <t>X:46</t>
  </si>
  <si>
    <t>w</t>
  </si>
  <si>
    <t>X:47</t>
  </si>
  <si>
    <t>W</t>
  </si>
  <si>
    <t>X:48</t>
  </si>
  <si>
    <t>X:49</t>
  </si>
  <si>
    <t>X</t>
  </si>
  <si>
    <t>X:50</t>
  </si>
  <si>
    <t>y</t>
  </si>
  <si>
    <t>X:51</t>
  </si>
  <si>
    <t>fifty</t>
  </si>
  <si>
    <t>Y</t>
  </si>
  <si>
    <t>X:52</t>
  </si>
  <si>
    <t>z</t>
  </si>
  <si>
    <t>X:53</t>
  </si>
  <si>
    <t>Z</t>
  </si>
  <si>
    <t>X:54</t>
  </si>
  <si>
    <t>X:55</t>
  </si>
  <si>
    <t>X:56</t>
  </si>
  <si>
    <t>X:57</t>
  </si>
  <si>
    <t>X:58</t>
  </si>
  <si>
    <t>X:59</t>
  </si>
  <si>
    <t>Radius</t>
  </si>
  <si>
    <t>Outline</t>
  </si>
  <si>
    <t>Dither</t>
  </si>
  <si>
    <t>int</t>
  </si>
  <si>
    <t>bool</t>
  </si>
  <si>
    <t>UD/LR/MIX</t>
  </si>
  <si>
    <t>Foreground</t>
  </si>
  <si>
    <t>Background</t>
  </si>
  <si>
    <t>Color</t>
  </si>
  <si>
    <t>Inverter</t>
  </si>
  <si>
    <t>Font Family</t>
  </si>
  <si>
    <t>Word-Wrap</t>
  </si>
  <si>
    <t>1 to 31</t>
  </si>
  <si>
    <t>uint</t>
  </si>
  <si>
    <t>Alignment</t>
  </si>
  <si>
    <t>L-C-R</t>
  </si>
  <si>
    <t>If text:</t>
  </si>
  <si>
    <t>All rect's</t>
  </si>
  <si>
    <t xml:space="preserve">If not text </t>
  </si>
  <si>
    <t>and Dyn Size</t>
  </si>
  <si>
    <t>Number</t>
  </si>
  <si>
    <t>Monday</t>
  </si>
  <si>
    <t>Jan</t>
  </si>
  <si>
    <t>Mon</t>
  </si>
  <si>
    <t>Janurary</t>
  </si>
  <si>
    <t>Day of Month 01-31</t>
  </si>
  <si>
    <t>mm/dd/yy</t>
  </si>
  <si>
    <t>hour 0-23, no leading space</t>
  </si>
  <si>
    <t>hour 1-12, no leading space</t>
  </si>
  <si>
    <t>day of month 1-31, w/ leading space 1-9</t>
  </si>
  <si>
    <t>"modifier"</t>
  </si>
  <si>
    <t>ISO 8601 Date YYYY-mm-dd</t>
  </si>
  <si>
    <t>ISO 8601 week-based year (not YYYY)</t>
  </si>
  <si>
    <t>ISO 8601 week-based year no century (not yy)</t>
  </si>
  <si>
    <t>Century 19-20 (2026-&gt; 20)</t>
  </si>
  <si>
    <t>hour 00-23</t>
  </si>
  <si>
    <t>hour 01-12</t>
  </si>
  <si>
    <t>day of year 001-366</t>
  </si>
  <si>
    <t>3-word time: word one</t>
  </si>
  <si>
    <t>3-word time: word two</t>
  </si>
  <si>
    <t>3-word time: word three</t>
  </si>
  <si>
    <t>hour 0-23, w/ leading space 0-9</t>
  </si>
  <si>
    <t>hour 1-12, w/ leading space 1-9</t>
  </si>
  <si>
    <t>month 01-12</t>
  </si>
  <si>
    <t>minute 0-59</t>
  </si>
  <si>
    <t>AM/PM</t>
  </si>
  <si>
    <t>am/pm</t>
  </si>
  <si>
    <t>watch-settings 1-12 or 00-23 (no leading space)</t>
  </si>
  <si>
    <t>watch-settings 01-12 or 00-23 (leading zero)</t>
  </si>
  <si>
    <t>24-hr time "15:31"</t>
  </si>
  <si>
    <t>am/pm time "03:31:59 pm"</t>
  </si>
  <si>
    <t>24-hr time "15:31:59"</t>
  </si>
  <si>
    <t>tab character</t>
  </si>
  <si>
    <t>newline character</t>
  </si>
  <si>
    <t>seconds 00-59</t>
  </si>
  <si>
    <t>seconds since epoch (1970-01-01 00:00:00)</t>
  </si>
  <si>
    <t>day of week, Monday=1, 1-7</t>
  </si>
  <si>
    <t>day of week, Sunday=0, 0-6</t>
  </si>
  <si>
    <t>week number 00-53, starting with the first Sunday as first day of week 01</t>
  </si>
  <si>
    <t>ISO 8601 week number 01-53, week 1 is first week w/ 4+ days</t>
  </si>
  <si>
    <t>week number 00-53, starting with the first Monday as first day of week 01</t>
  </si>
  <si>
    <t>locale date (in US, mm/dd/yy)</t>
  </si>
  <si>
    <t>locale date and time (in US, Mon Jan 05 15:31:59 2026)</t>
  </si>
  <si>
    <t>locale time (in US, 15:31:59)</t>
  </si>
  <si>
    <t>2-digit year 00-99</t>
  </si>
  <si>
    <t>4-digit year</t>
  </si>
  <si>
    <t>+hhmm or -hhmm timezone offsetrom UTC</t>
  </si>
  <si>
    <t>timezone name or abbreviation</t>
  </si>
  <si>
    <t>today's steps</t>
  </si>
  <si>
    <t>Param</t>
  </si>
  <si>
    <t>19-20 Century (2026-&gt; 20)</t>
  </si>
  <si>
    <t xml:space="preserve">01-31 Day of Month </t>
  </si>
  <si>
    <t>0-100 battery percentage</t>
  </si>
  <si>
    <t>00-23 hour</t>
  </si>
  <si>
    <t>00-99 ISO 8601 week-based year no century (not yy)</t>
  </si>
  <si>
    <t>0-255 heartrate</t>
  </si>
  <si>
    <t xml:space="preserve">01-12 hour </t>
  </si>
  <si>
    <t xml:space="preserve">001-366 day of year </t>
  </si>
  <si>
    <t xml:space="preserve">01-12 month </t>
  </si>
  <si>
    <t xml:space="preserve">0-59 minute </t>
  </si>
  <si>
    <t>0-2147483647 seconds since epoch (1970-01-01 00:00:00)</t>
  </si>
  <si>
    <t xml:space="preserve">00-59 seconds </t>
  </si>
  <si>
    <t>1-7 day of week, Monday=1</t>
  </si>
  <si>
    <t>00-53 week number, starting with the first Sunday as first day of week 01</t>
  </si>
  <si>
    <t>0-123456 today's steps</t>
  </si>
  <si>
    <t>01-53 ISO 8601 week number, week 1 is first week w/ 4+ days</t>
  </si>
  <si>
    <t>0-6 day of week, Sunday=0</t>
  </si>
  <si>
    <t>00-53 week number, starting with the first Monday as first day of week 01</t>
  </si>
  <si>
    <t>4-digit ISO 8601 week-based year (not YYYY)</t>
  </si>
  <si>
    <t>00-99 2-digit year</t>
  </si>
  <si>
    <t>operand</t>
  </si>
  <si>
    <t>+-/*</t>
  </si>
  <si>
    <t>number</t>
  </si>
  <si>
    <t>[operand]</t>
  </si>
  <si>
    <t>[number]</t>
  </si>
  <si>
    <t>%Y</t>
  </si>
  <si>
    <t>%C</t>
  </si>
  <si>
    <t>%y</t>
  </si>
  <si>
    <t>%m</t>
  </si>
  <si>
    <t>%d</t>
  </si>
  <si>
    <t>%u</t>
  </si>
  <si>
    <t>%w</t>
  </si>
  <si>
    <t>%j</t>
  </si>
  <si>
    <t>%H</t>
  </si>
  <si>
    <t>%I</t>
  </si>
  <si>
    <t>%M</t>
  </si>
  <si>
    <t>%S</t>
  </si>
  <si>
    <t>%f</t>
  </si>
  <si>
    <t>%i</t>
  </si>
  <si>
    <t>%v</t>
  </si>
  <si>
    <t>%G</t>
  </si>
  <si>
    <t>%g</t>
  </si>
  <si>
    <t>%V</t>
  </si>
  <si>
    <t>%U</t>
  </si>
  <si>
    <t>%W</t>
  </si>
  <si>
    <t>%s</t>
  </si>
  <si>
    <t>Param (see list), or base-10 string</t>
  </si>
  <si>
    <t>etc..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</si>
</sst>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sz val="11"/>
      <color rgb="FF9C5700"/>
      <name val="Aptos Narrow"/>
      <family val="2"/>
      <charset val="1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Border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9">
    <xf numFmtId="0" fontId="0" fillId="0" borderId="0" xfId="0"/>
    <xf numFmtId="0" fontId="1" fillId="2" borderId="0" xfId="1" applyBorder="1" applyProtection="1"/>
    <xf numFmtId="16" fontId="0" fillId="0" borderId="0" xfId="0" applyNumberFormat="1"/>
    <xf numFmtId="0" fontId="0" fillId="0" borderId="0" xfId="0" applyAlignment="1"/>
    <xf numFmtId="0" fontId="3" fillId="4" borderId="0" xfId="3" applyBorder="1" applyProtection="1"/>
    <xf numFmtId="0" fontId="2" fillId="3" borderId="0" xfId="2"/>
    <xf numFmtId="0" fontId="0" fillId="0" borderId="0" xfId="0" quotePrefix="1"/>
    <xf numFmtId="0" fontId="1" fillId="2" borderId="0" xfId="1"/>
    <xf numFmtId="0" fontId="4" fillId="5" borderId="0" xfId="4" applyBorder="1" applyProtection="1"/>
  </cellXfs>
  <cellStyles count="5">
    <cellStyle name="Bad" xfId="3" builtinId="27"/>
    <cellStyle name="Excel Built-in Neutral" xfId="1" xr:uid="{00000000-0005-0000-0000-000006000000}"/>
    <cellStyle name="Good" xfId="2" builtinId="26"/>
    <cellStyle name="Neutral" xfId="4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D22" zoomScaleNormal="100" workbookViewId="0">
      <selection activeCell="H18" sqref="H18"/>
    </sheetView>
  </sheetViews>
  <sheetFormatPr defaultColWidth="8.5703125" defaultRowHeight="15" x14ac:dyDescent="0.25"/>
  <cols>
    <col min="6" max="6" width="43" customWidth="1"/>
    <col min="16" max="16" width="21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</row>
    <row r="2" spans="1:16" x14ac:dyDescent="0.25">
      <c r="A2" t="s">
        <v>4</v>
      </c>
      <c r="B2" t="s">
        <v>1</v>
      </c>
      <c r="C2" t="s">
        <v>5</v>
      </c>
      <c r="D2" t="s">
        <v>6</v>
      </c>
      <c r="F2" t="s">
        <v>7</v>
      </c>
      <c r="O2" t="s">
        <v>8</v>
      </c>
    </row>
    <row r="3" spans="1:16" x14ac:dyDescent="0.25">
      <c r="A3" t="s">
        <v>9</v>
      </c>
      <c r="B3" t="s">
        <v>1</v>
      </c>
      <c r="C3" t="s">
        <v>5</v>
      </c>
      <c r="D3" t="s">
        <v>10</v>
      </c>
      <c r="F3" t="s">
        <v>11</v>
      </c>
      <c r="O3" s="1" t="s">
        <v>12</v>
      </c>
      <c r="P3" t="s">
        <v>203</v>
      </c>
    </row>
    <row r="4" spans="1:16" x14ac:dyDescent="0.25">
      <c r="A4" t="s">
        <v>13</v>
      </c>
      <c r="B4" t="s">
        <v>1</v>
      </c>
      <c r="C4" t="s">
        <v>5</v>
      </c>
      <c r="D4" t="s">
        <v>14</v>
      </c>
      <c r="F4" t="s">
        <v>15</v>
      </c>
      <c r="O4" s="1" t="s">
        <v>16</v>
      </c>
      <c r="P4" t="s">
        <v>201</v>
      </c>
    </row>
    <row r="5" spans="1:16" x14ac:dyDescent="0.25">
      <c r="A5" t="s">
        <v>17</v>
      </c>
      <c r="B5" t="s">
        <v>1</v>
      </c>
      <c r="C5" t="s">
        <v>5</v>
      </c>
      <c r="D5" t="s">
        <v>18</v>
      </c>
      <c r="I5">
        <v>1.35</v>
      </c>
      <c r="O5" s="1" t="s">
        <v>19</v>
      </c>
      <c r="P5" t="s">
        <v>202</v>
      </c>
    </row>
    <row r="6" spans="1:16" x14ac:dyDescent="0.25">
      <c r="A6" t="s">
        <v>20</v>
      </c>
      <c r="B6" t="s">
        <v>21</v>
      </c>
      <c r="C6" t="s">
        <v>22</v>
      </c>
      <c r="D6" t="s">
        <v>1</v>
      </c>
      <c r="F6">
        <v>144</v>
      </c>
      <c r="G6">
        <f>H6/F6</f>
        <v>1.3888888888888888</v>
      </c>
      <c r="H6">
        <v>200</v>
      </c>
      <c r="I6">
        <f>F6*1.35</f>
        <v>194.4</v>
      </c>
      <c r="O6" s="1" t="s">
        <v>23</v>
      </c>
      <c r="P6" t="s">
        <v>204</v>
      </c>
    </row>
    <row r="7" spans="1:16" x14ac:dyDescent="0.25">
      <c r="A7" t="s">
        <v>24</v>
      </c>
      <c r="B7" t="s">
        <v>1</v>
      </c>
      <c r="C7" t="s">
        <v>5</v>
      </c>
      <c r="D7" t="s">
        <v>25</v>
      </c>
      <c r="F7">
        <v>168</v>
      </c>
      <c r="G7">
        <f>H7/F7</f>
        <v>1.3571428571428572</v>
      </c>
      <c r="H7">
        <v>228</v>
      </c>
      <c r="I7">
        <f>F7*1.35</f>
        <v>226.8</v>
      </c>
      <c r="O7" s="1" t="s">
        <v>26</v>
      </c>
      <c r="P7" t="s">
        <v>242</v>
      </c>
    </row>
    <row r="8" spans="1:16" x14ac:dyDescent="0.25">
      <c r="A8" t="s">
        <v>27</v>
      </c>
      <c r="B8" t="s">
        <v>1</v>
      </c>
      <c r="C8" t="s">
        <v>5</v>
      </c>
      <c r="D8" t="s">
        <v>28</v>
      </c>
      <c r="O8" s="1" t="s">
        <v>29</v>
      </c>
      <c r="P8" t="s">
        <v>214</v>
      </c>
    </row>
    <row r="9" spans="1:16" x14ac:dyDescent="0.25">
      <c r="A9" t="s">
        <v>30</v>
      </c>
      <c r="B9" t="s">
        <v>1</v>
      </c>
      <c r="C9" t="s">
        <v>5</v>
      </c>
      <c r="D9" t="s">
        <v>31</v>
      </c>
      <c r="F9">
        <v>180</v>
      </c>
      <c r="G9">
        <f>H9/F9</f>
        <v>1.4444444444444444</v>
      </c>
      <c r="H9">
        <v>260</v>
      </c>
      <c r="I9">
        <f>F9*1.35</f>
        <v>243.00000000000003</v>
      </c>
      <c r="O9" s="1" t="s">
        <v>32</v>
      </c>
      <c r="P9" t="s">
        <v>205</v>
      </c>
    </row>
    <row r="10" spans="1:16" x14ac:dyDescent="0.25">
      <c r="A10" t="s">
        <v>33</v>
      </c>
      <c r="B10" t="s">
        <v>1</v>
      </c>
      <c r="C10" t="s">
        <v>5</v>
      </c>
      <c r="D10" t="s">
        <v>34</v>
      </c>
      <c r="O10" s="1" t="s">
        <v>35</v>
      </c>
      <c r="P10" t="s">
        <v>206</v>
      </c>
    </row>
    <row r="11" spans="1:16" x14ac:dyDescent="0.25">
      <c r="A11" t="s">
        <v>36</v>
      </c>
      <c r="B11" t="s">
        <v>37</v>
      </c>
      <c r="C11" t="s">
        <v>22</v>
      </c>
      <c r="D11" t="s">
        <v>1</v>
      </c>
      <c r="F11">
        <f>144*168/8</f>
        <v>3024</v>
      </c>
      <c r="G11">
        <f>F11/256</f>
        <v>11.8125</v>
      </c>
      <c r="H11" s="2" t="s">
        <v>38</v>
      </c>
      <c r="I11" t="s">
        <v>39</v>
      </c>
      <c r="J11" s="2" t="s">
        <v>40</v>
      </c>
      <c r="O11" s="1" t="s">
        <v>41</v>
      </c>
      <c r="P11" t="s">
        <v>209</v>
      </c>
    </row>
    <row r="12" spans="1:16" x14ac:dyDescent="0.25">
      <c r="A12" t="s">
        <v>42</v>
      </c>
      <c r="B12" t="s">
        <v>43</v>
      </c>
      <c r="C12" t="s">
        <v>22</v>
      </c>
      <c r="D12" t="s">
        <v>1</v>
      </c>
      <c r="G12">
        <f>268*12</f>
        <v>3216</v>
      </c>
      <c r="H12">
        <f>G12*3/8</f>
        <v>1206</v>
      </c>
      <c r="I12">
        <f>G12*3/4</f>
        <v>2412</v>
      </c>
      <c r="J12">
        <f>G12*4/16</f>
        <v>804</v>
      </c>
      <c r="O12" s="4" t="s">
        <v>44</v>
      </c>
      <c r="P12" t="s">
        <v>210</v>
      </c>
    </row>
    <row r="13" spans="1:16" x14ac:dyDescent="0.25">
      <c r="A13" t="s">
        <v>45</v>
      </c>
      <c r="B13" t="s">
        <v>46</v>
      </c>
      <c r="C13" t="s">
        <v>22</v>
      </c>
      <c r="D13" t="s">
        <v>1</v>
      </c>
      <c r="F13">
        <v>4096</v>
      </c>
      <c r="G13">
        <f>F13-G12</f>
        <v>880</v>
      </c>
      <c r="I13">
        <f>(2048-804)/268</f>
        <v>4.6417910447761193</v>
      </c>
      <c r="J13">
        <f>4.5*256</f>
        <v>1152</v>
      </c>
      <c r="O13" s="5" t="s">
        <v>47</v>
      </c>
      <c r="P13" t="s">
        <v>48</v>
      </c>
    </row>
    <row r="14" spans="1:16" x14ac:dyDescent="0.25">
      <c r="A14" t="s">
        <v>49</v>
      </c>
      <c r="B14" t="s">
        <v>50</v>
      </c>
      <c r="C14" t="s">
        <v>22</v>
      </c>
      <c r="D14" t="s">
        <v>1</v>
      </c>
      <c r="J14">
        <f>SQRT(J13)</f>
        <v>33.941125496954278</v>
      </c>
      <c r="O14" s="1" t="s">
        <v>51</v>
      </c>
      <c r="P14" t="s">
        <v>211</v>
      </c>
    </row>
    <row r="15" spans="1:16" x14ac:dyDescent="0.25">
      <c r="A15" t="s">
        <v>52</v>
      </c>
      <c r="B15" t="s">
        <v>1</v>
      </c>
      <c r="C15" t="s">
        <v>53</v>
      </c>
      <c r="D15" t="s">
        <v>54</v>
      </c>
      <c r="F15">
        <f>260*260</f>
        <v>67600</v>
      </c>
      <c r="G15">
        <f>F15/256</f>
        <v>264.0625</v>
      </c>
      <c r="O15" s="1" t="s">
        <v>55</v>
      </c>
      <c r="P15" t="s">
        <v>213</v>
      </c>
    </row>
    <row r="16" spans="1:16" x14ac:dyDescent="0.25">
      <c r="A16" t="s">
        <v>56</v>
      </c>
      <c r="B16" t="s">
        <v>57</v>
      </c>
      <c r="C16" t="s">
        <v>22</v>
      </c>
      <c r="D16" t="s">
        <v>1</v>
      </c>
      <c r="G16">
        <f>268*265</f>
        <v>71020</v>
      </c>
      <c r="O16" s="1" t="s">
        <v>58</v>
      </c>
      <c r="P16" t="s">
        <v>212</v>
      </c>
    </row>
    <row r="17" spans="1:16" x14ac:dyDescent="0.25">
      <c r="A17" t="s">
        <v>59</v>
      </c>
      <c r="B17" t="s">
        <v>1</v>
      </c>
      <c r="C17" t="s">
        <v>60</v>
      </c>
      <c r="D17" t="s">
        <v>54</v>
      </c>
      <c r="O17" s="1" t="s">
        <v>61</v>
      </c>
      <c r="P17" t="s">
        <v>202</v>
      </c>
    </row>
    <row r="18" spans="1:16" x14ac:dyDescent="0.25">
      <c r="A18" t="s">
        <v>62</v>
      </c>
      <c r="B18" t="s">
        <v>1</v>
      </c>
      <c r="C18" t="s">
        <v>63</v>
      </c>
      <c r="D18" t="s">
        <v>54</v>
      </c>
      <c r="F18" t="s">
        <v>64</v>
      </c>
      <c r="G18" t="s">
        <v>65</v>
      </c>
      <c r="H18">
        <v>1.35</v>
      </c>
      <c r="I18" t="s">
        <v>66</v>
      </c>
      <c r="O18" s="1" t="s">
        <v>67</v>
      </c>
      <c r="P18" t="s">
        <v>215</v>
      </c>
    </row>
    <row r="19" spans="1:16" x14ac:dyDescent="0.25">
      <c r="A19" t="s">
        <v>68</v>
      </c>
      <c r="B19" t="s">
        <v>1</v>
      </c>
      <c r="C19" t="s">
        <v>69</v>
      </c>
      <c r="D19" t="s">
        <v>54</v>
      </c>
      <c r="E19">
        <v>1</v>
      </c>
      <c r="F19" t="s">
        <v>70</v>
      </c>
      <c r="G19">
        <v>14</v>
      </c>
      <c r="H19">
        <f t="shared" ref="H19:H43" si="0">G19*H$18</f>
        <v>18.900000000000002</v>
      </c>
      <c r="I19" t="s">
        <v>71</v>
      </c>
      <c r="O19" s="5" t="s">
        <v>72</v>
      </c>
      <c r="P19" t="s">
        <v>151</v>
      </c>
    </row>
    <row r="20" spans="1:16" x14ac:dyDescent="0.25">
      <c r="A20" t="s">
        <v>73</v>
      </c>
      <c r="B20" t="s">
        <v>1</v>
      </c>
      <c r="C20" t="s">
        <v>74</v>
      </c>
      <c r="D20" t="s">
        <v>54</v>
      </c>
      <c r="E20">
        <v>2</v>
      </c>
      <c r="F20" t="s">
        <v>75</v>
      </c>
      <c r="G20">
        <v>14</v>
      </c>
      <c r="H20">
        <f t="shared" si="0"/>
        <v>18.900000000000002</v>
      </c>
      <c r="I20" t="s">
        <v>76</v>
      </c>
      <c r="O20" s="1" t="s">
        <v>77</v>
      </c>
      <c r="P20" t="s">
        <v>216</v>
      </c>
    </row>
    <row r="21" spans="1:16" x14ac:dyDescent="0.25">
      <c r="A21" t="s">
        <v>78</v>
      </c>
      <c r="B21" t="s">
        <v>79</v>
      </c>
      <c r="C21" t="s">
        <v>22</v>
      </c>
      <c r="D21" t="s">
        <v>1</v>
      </c>
      <c r="E21">
        <v>3</v>
      </c>
      <c r="F21" t="s">
        <v>71</v>
      </c>
      <c r="G21">
        <v>18</v>
      </c>
      <c r="H21">
        <f t="shared" si="0"/>
        <v>24.3</v>
      </c>
      <c r="I21" t="s">
        <v>80</v>
      </c>
      <c r="O21" s="1" t="s">
        <v>81</v>
      </c>
      <c r="P21" t="s">
        <v>217</v>
      </c>
    </row>
    <row r="22" spans="1:16" x14ac:dyDescent="0.25">
      <c r="A22" t="s">
        <v>82</v>
      </c>
      <c r="B22" t="s">
        <v>1</v>
      </c>
      <c r="C22" t="s">
        <v>79</v>
      </c>
      <c r="D22" t="s">
        <v>6</v>
      </c>
      <c r="E22">
        <v>4</v>
      </c>
      <c r="F22" t="s">
        <v>76</v>
      </c>
      <c r="G22">
        <v>18</v>
      </c>
      <c r="H22">
        <f t="shared" si="0"/>
        <v>24.3</v>
      </c>
      <c r="I22" t="s">
        <v>83</v>
      </c>
      <c r="O22" s="5" t="s">
        <v>84</v>
      </c>
      <c r="P22" t="s">
        <v>218</v>
      </c>
    </row>
    <row r="23" spans="1:16" x14ac:dyDescent="0.25">
      <c r="A23" t="s">
        <v>85</v>
      </c>
      <c r="B23" t="s">
        <v>1</v>
      </c>
      <c r="C23" t="s">
        <v>79</v>
      </c>
      <c r="D23" t="s">
        <v>10</v>
      </c>
      <c r="E23">
        <v>5</v>
      </c>
      <c r="F23" t="s">
        <v>80</v>
      </c>
      <c r="G23">
        <v>24</v>
      </c>
      <c r="H23">
        <f t="shared" si="0"/>
        <v>32.400000000000006</v>
      </c>
      <c r="I23" t="s">
        <v>86</v>
      </c>
      <c r="O23" s="1" t="s">
        <v>87</v>
      </c>
      <c r="P23" t="s">
        <v>221</v>
      </c>
    </row>
    <row r="24" spans="1:16" x14ac:dyDescent="0.25">
      <c r="A24" t="s">
        <v>88</v>
      </c>
      <c r="B24" t="s">
        <v>1</v>
      </c>
      <c r="C24" t="s">
        <v>79</v>
      </c>
      <c r="D24" t="s">
        <v>14</v>
      </c>
      <c r="E24">
        <v>6</v>
      </c>
      <c r="F24" t="s">
        <v>83</v>
      </c>
      <c r="G24">
        <v>24</v>
      </c>
      <c r="H24">
        <f t="shared" si="0"/>
        <v>32.400000000000006</v>
      </c>
      <c r="I24" t="s">
        <v>89</v>
      </c>
      <c r="O24" s="5" t="s">
        <v>90</v>
      </c>
      <c r="P24" t="s">
        <v>219</v>
      </c>
    </row>
    <row r="25" spans="1:16" x14ac:dyDescent="0.25">
      <c r="A25" t="s">
        <v>91</v>
      </c>
      <c r="B25" t="s">
        <v>1</v>
      </c>
      <c r="C25" t="s">
        <v>79</v>
      </c>
      <c r="D25" t="s">
        <v>18</v>
      </c>
      <c r="E25">
        <v>7</v>
      </c>
      <c r="F25" t="s">
        <v>86</v>
      </c>
      <c r="G25">
        <v>28</v>
      </c>
      <c r="H25">
        <f t="shared" si="0"/>
        <v>37.800000000000004</v>
      </c>
      <c r="O25" s="1" t="s">
        <v>92</v>
      </c>
      <c r="P25" t="s">
        <v>222</v>
      </c>
    </row>
    <row r="26" spans="1:16" x14ac:dyDescent="0.25">
      <c r="A26" t="s">
        <v>93</v>
      </c>
      <c r="B26" t="s">
        <v>1</v>
      </c>
      <c r="C26" t="s">
        <v>79</v>
      </c>
      <c r="D26" t="s">
        <v>21</v>
      </c>
      <c r="E26">
        <v>8</v>
      </c>
      <c r="F26" t="s">
        <v>89</v>
      </c>
      <c r="G26">
        <v>28</v>
      </c>
      <c r="H26">
        <f t="shared" si="0"/>
        <v>37.800000000000004</v>
      </c>
      <c r="O26" s="5" t="s">
        <v>94</v>
      </c>
      <c r="P26" t="s">
        <v>220</v>
      </c>
    </row>
    <row r="27" spans="1:16" x14ac:dyDescent="0.25">
      <c r="A27" t="s">
        <v>95</v>
      </c>
      <c r="B27" t="s">
        <v>1</v>
      </c>
      <c r="C27" t="s">
        <v>79</v>
      </c>
      <c r="D27" t="s">
        <v>25</v>
      </c>
      <c r="E27">
        <v>9</v>
      </c>
      <c r="F27" t="s">
        <v>96</v>
      </c>
      <c r="G27">
        <v>30</v>
      </c>
      <c r="H27">
        <f t="shared" si="0"/>
        <v>40.5</v>
      </c>
      <c r="I27" t="s">
        <v>97</v>
      </c>
      <c r="O27" s="1" t="s">
        <v>98</v>
      </c>
      <c r="P27" t="s">
        <v>223</v>
      </c>
    </row>
    <row r="28" spans="1:16" x14ac:dyDescent="0.25">
      <c r="A28" t="s">
        <v>99</v>
      </c>
      <c r="B28" t="s">
        <v>1</v>
      </c>
      <c r="C28" t="s">
        <v>79</v>
      </c>
      <c r="D28" t="s">
        <v>28</v>
      </c>
      <c r="E28">
        <v>10</v>
      </c>
      <c r="F28" t="s">
        <v>100</v>
      </c>
      <c r="G28">
        <v>34</v>
      </c>
      <c r="H28">
        <f t="shared" si="0"/>
        <v>45.900000000000006</v>
      </c>
      <c r="I28" t="s">
        <v>101</v>
      </c>
      <c r="O28" s="1" t="s">
        <v>102</v>
      </c>
      <c r="P28" t="s">
        <v>224</v>
      </c>
    </row>
    <row r="29" spans="1:16" x14ac:dyDescent="0.25">
      <c r="A29" t="s">
        <v>103</v>
      </c>
      <c r="B29" t="s">
        <v>1</v>
      </c>
      <c r="C29" t="s">
        <v>79</v>
      </c>
      <c r="D29" t="s">
        <v>31</v>
      </c>
      <c r="E29">
        <v>11</v>
      </c>
      <c r="F29" t="s">
        <v>97</v>
      </c>
      <c r="G29">
        <v>42</v>
      </c>
      <c r="H29">
        <f t="shared" si="0"/>
        <v>56.7</v>
      </c>
      <c r="I29" t="s">
        <v>104</v>
      </c>
      <c r="O29" s="1" t="s">
        <v>105</v>
      </c>
      <c r="P29" t="s">
        <v>233</v>
      </c>
    </row>
    <row r="30" spans="1:16" x14ac:dyDescent="0.25">
      <c r="A30" t="s">
        <v>106</v>
      </c>
      <c r="B30" t="s">
        <v>1</v>
      </c>
      <c r="C30" t="s">
        <v>79</v>
      </c>
      <c r="D30" t="s">
        <v>34</v>
      </c>
      <c r="E30">
        <v>12</v>
      </c>
      <c r="F30" t="s">
        <v>107</v>
      </c>
      <c r="G30">
        <v>42</v>
      </c>
      <c r="H30">
        <f t="shared" si="0"/>
        <v>56.7</v>
      </c>
      <c r="I30" t="s">
        <v>104</v>
      </c>
      <c r="O30" s="5" t="s">
        <v>108</v>
      </c>
      <c r="P30" t="s">
        <v>207</v>
      </c>
    </row>
    <row r="31" spans="1:16" x14ac:dyDescent="0.25">
      <c r="A31" t="s">
        <v>109</v>
      </c>
      <c r="B31" t="s">
        <v>110</v>
      </c>
      <c r="C31" t="s">
        <v>22</v>
      </c>
      <c r="D31" t="s">
        <v>1</v>
      </c>
      <c r="E31">
        <v>13</v>
      </c>
      <c r="F31" t="s">
        <v>101</v>
      </c>
      <c r="G31">
        <v>42</v>
      </c>
      <c r="H31">
        <f t="shared" si="0"/>
        <v>56.7</v>
      </c>
      <c r="I31" t="s">
        <v>104</v>
      </c>
      <c r="O31" s="5" t="s">
        <v>111</v>
      </c>
      <c r="P31" t="s">
        <v>208</v>
      </c>
    </row>
    <row r="32" spans="1:16" x14ac:dyDescent="0.25">
      <c r="A32" t="s">
        <v>112</v>
      </c>
      <c r="B32" t="s">
        <v>1</v>
      </c>
      <c r="C32" t="s">
        <v>113</v>
      </c>
      <c r="D32" t="s">
        <v>6</v>
      </c>
      <c r="E32">
        <v>14</v>
      </c>
      <c r="F32" t="s">
        <v>114</v>
      </c>
      <c r="G32">
        <v>21</v>
      </c>
      <c r="H32">
        <f t="shared" si="0"/>
        <v>28.35</v>
      </c>
      <c r="I32" t="s">
        <v>86</v>
      </c>
      <c r="O32" s="4" t="s">
        <v>115</v>
      </c>
      <c r="P32" t="s">
        <v>210</v>
      </c>
    </row>
    <row r="33" spans="1:16" x14ac:dyDescent="0.25">
      <c r="A33" t="s">
        <v>116</v>
      </c>
      <c r="B33" t="s">
        <v>1</v>
      </c>
      <c r="C33" t="s">
        <v>113</v>
      </c>
      <c r="D33" t="s">
        <v>10</v>
      </c>
      <c r="E33">
        <v>15</v>
      </c>
      <c r="F33" t="s">
        <v>104</v>
      </c>
      <c r="G33">
        <v>49</v>
      </c>
      <c r="H33">
        <f t="shared" si="0"/>
        <v>66.150000000000006</v>
      </c>
      <c r="O33" s="1" t="s">
        <v>117</v>
      </c>
      <c r="P33" t="s">
        <v>225</v>
      </c>
    </row>
    <row r="34" spans="1:16" x14ac:dyDescent="0.25">
      <c r="A34" t="s">
        <v>118</v>
      </c>
      <c r="B34" t="s">
        <v>1</v>
      </c>
      <c r="C34" t="s">
        <v>113</v>
      </c>
      <c r="D34" t="s">
        <v>14</v>
      </c>
      <c r="E34">
        <v>16</v>
      </c>
      <c r="F34" t="s">
        <v>119</v>
      </c>
      <c r="G34">
        <v>28</v>
      </c>
      <c r="H34">
        <f t="shared" si="0"/>
        <v>37.800000000000004</v>
      </c>
      <c r="O34" s="1" t="s">
        <v>120</v>
      </c>
      <c r="P34" t="s">
        <v>226</v>
      </c>
    </row>
    <row r="35" spans="1:16" x14ac:dyDescent="0.25">
      <c r="A35" t="s">
        <v>121</v>
      </c>
      <c r="B35" t="s">
        <v>1</v>
      </c>
      <c r="C35" t="s">
        <v>113</v>
      </c>
      <c r="D35" t="s">
        <v>18</v>
      </c>
      <c r="E35">
        <v>17</v>
      </c>
      <c r="F35" t="s">
        <v>122</v>
      </c>
      <c r="G35">
        <v>20</v>
      </c>
      <c r="H35">
        <f t="shared" si="0"/>
        <v>27</v>
      </c>
      <c r="I35" t="s">
        <v>123</v>
      </c>
      <c r="O35" s="5" t="s">
        <v>124</v>
      </c>
      <c r="P35" t="s">
        <v>228</v>
      </c>
    </row>
    <row r="36" spans="1:16" x14ac:dyDescent="0.25">
      <c r="A36" t="s">
        <v>125</v>
      </c>
      <c r="B36" t="s">
        <v>1</v>
      </c>
      <c r="C36" t="s">
        <v>113</v>
      </c>
      <c r="D36" t="s">
        <v>21</v>
      </c>
      <c r="E36">
        <v>18</v>
      </c>
      <c r="F36" t="s">
        <v>123</v>
      </c>
      <c r="G36">
        <v>26</v>
      </c>
      <c r="H36">
        <f t="shared" si="0"/>
        <v>35.1</v>
      </c>
      <c r="I36" t="s">
        <v>126</v>
      </c>
      <c r="O36" s="5" t="s">
        <v>127</v>
      </c>
      <c r="P36" t="s">
        <v>227</v>
      </c>
    </row>
    <row r="37" spans="1:16" x14ac:dyDescent="0.25">
      <c r="A37" t="s">
        <v>128</v>
      </c>
      <c r="B37" t="s">
        <v>1</v>
      </c>
      <c r="C37" t="s">
        <v>113</v>
      </c>
      <c r="D37" t="s">
        <v>25</v>
      </c>
      <c r="E37">
        <v>19</v>
      </c>
      <c r="F37" t="s">
        <v>129</v>
      </c>
      <c r="G37">
        <v>28</v>
      </c>
      <c r="H37">
        <f t="shared" si="0"/>
        <v>37.800000000000004</v>
      </c>
      <c r="I37" t="s">
        <v>126</v>
      </c>
      <c r="O37" s="1" t="s">
        <v>130</v>
      </c>
      <c r="P37" t="s">
        <v>230</v>
      </c>
    </row>
    <row r="38" spans="1:16" x14ac:dyDescent="0.25">
      <c r="A38" t="s">
        <v>131</v>
      </c>
      <c r="B38" t="s">
        <v>1</v>
      </c>
      <c r="C38" t="s">
        <v>113</v>
      </c>
      <c r="D38" t="s">
        <v>28</v>
      </c>
      <c r="E38">
        <v>20</v>
      </c>
      <c r="F38" t="s">
        <v>126</v>
      </c>
      <c r="G38">
        <v>32</v>
      </c>
      <c r="H38">
        <f t="shared" si="0"/>
        <v>43.2</v>
      </c>
      <c r="I38" t="s">
        <v>132</v>
      </c>
      <c r="O38" s="1" t="s">
        <v>133</v>
      </c>
      <c r="P38" t="s">
        <v>229</v>
      </c>
    </row>
    <row r="39" spans="1:16" x14ac:dyDescent="0.25">
      <c r="A39" t="s">
        <v>134</v>
      </c>
      <c r="B39" t="s">
        <v>1</v>
      </c>
      <c r="C39" t="s">
        <v>113</v>
      </c>
      <c r="D39" t="s">
        <v>31</v>
      </c>
      <c r="E39">
        <v>21</v>
      </c>
      <c r="F39" t="s">
        <v>132</v>
      </c>
      <c r="G39">
        <v>36</v>
      </c>
      <c r="H39">
        <f t="shared" si="0"/>
        <v>48.6</v>
      </c>
      <c r="I39" t="s">
        <v>135</v>
      </c>
      <c r="O39" s="1" t="s">
        <v>136</v>
      </c>
      <c r="P39" t="s">
        <v>235</v>
      </c>
    </row>
    <row r="40" spans="1:16" x14ac:dyDescent="0.25">
      <c r="A40" t="s">
        <v>137</v>
      </c>
      <c r="B40" t="s">
        <v>1</v>
      </c>
      <c r="C40" t="s">
        <v>113</v>
      </c>
      <c r="D40" t="s">
        <v>34</v>
      </c>
      <c r="E40">
        <v>22</v>
      </c>
      <c r="F40" t="s">
        <v>135</v>
      </c>
      <c r="G40">
        <v>38</v>
      </c>
      <c r="H40">
        <f t="shared" si="0"/>
        <v>51.300000000000004</v>
      </c>
      <c r="I40" t="s">
        <v>138</v>
      </c>
      <c r="O40" s="1" t="s">
        <v>139</v>
      </c>
      <c r="P40" t="s">
        <v>234</v>
      </c>
    </row>
    <row r="41" spans="1:16" x14ac:dyDescent="0.25">
      <c r="A41" t="s">
        <v>140</v>
      </c>
      <c r="B41" t="s">
        <v>79</v>
      </c>
      <c r="C41" t="s">
        <v>141</v>
      </c>
      <c r="D41" t="s">
        <v>142</v>
      </c>
      <c r="E41">
        <v>23</v>
      </c>
      <c r="F41" t="s">
        <v>138</v>
      </c>
      <c r="G41">
        <v>42</v>
      </c>
      <c r="H41">
        <f t="shared" si="0"/>
        <v>56.7</v>
      </c>
      <c r="I41" t="s">
        <v>138</v>
      </c>
      <c r="O41" s="1" t="s">
        <v>143</v>
      </c>
      <c r="P41" t="s">
        <v>232</v>
      </c>
    </row>
    <row r="42" spans="1:16" x14ac:dyDescent="0.25">
      <c r="A42" t="s">
        <v>144</v>
      </c>
      <c r="B42" t="s">
        <v>1</v>
      </c>
      <c r="C42" t="s">
        <v>145</v>
      </c>
      <c r="D42" t="s">
        <v>6</v>
      </c>
      <c r="E42">
        <v>24</v>
      </c>
      <c r="F42" t="s">
        <v>146</v>
      </c>
      <c r="G42">
        <v>60</v>
      </c>
      <c r="H42">
        <f t="shared" si="0"/>
        <v>81</v>
      </c>
      <c r="O42" s="1" t="s">
        <v>147</v>
      </c>
      <c r="P42" t="s">
        <v>231</v>
      </c>
    </row>
    <row r="43" spans="1:16" x14ac:dyDescent="0.25">
      <c r="A43" t="s">
        <v>148</v>
      </c>
      <c r="B43" t="s">
        <v>1</v>
      </c>
      <c r="C43" t="s">
        <v>145</v>
      </c>
      <c r="D43" t="s">
        <v>10</v>
      </c>
      <c r="E43">
        <v>25</v>
      </c>
      <c r="F43" t="s">
        <v>149</v>
      </c>
      <c r="G43">
        <v>60</v>
      </c>
      <c r="H43">
        <f t="shared" si="0"/>
        <v>81</v>
      </c>
      <c r="O43" s="7" t="s">
        <v>150</v>
      </c>
      <c r="P43" t="s">
        <v>236</v>
      </c>
    </row>
    <row r="44" spans="1:16" x14ac:dyDescent="0.25">
      <c r="A44" t="s">
        <v>152</v>
      </c>
      <c r="B44" t="s">
        <v>1</v>
      </c>
      <c r="C44" t="s">
        <v>145</v>
      </c>
      <c r="D44" t="s">
        <v>14</v>
      </c>
      <c r="O44" s="1" t="s">
        <v>153</v>
      </c>
      <c r="P44" t="s">
        <v>238</v>
      </c>
    </row>
    <row r="45" spans="1:16" x14ac:dyDescent="0.25">
      <c r="A45" t="s">
        <v>154</v>
      </c>
      <c r="B45" t="s">
        <v>1</v>
      </c>
      <c r="C45" t="s">
        <v>145</v>
      </c>
      <c r="D45" t="s">
        <v>18</v>
      </c>
      <c r="O45" s="5" t="s">
        <v>155</v>
      </c>
      <c r="P45" t="s">
        <v>248</v>
      </c>
    </row>
    <row r="46" spans="1:16" x14ac:dyDescent="0.25">
      <c r="A46" t="s">
        <v>156</v>
      </c>
      <c r="B46" t="s">
        <v>57</v>
      </c>
      <c r="C46" t="s">
        <v>141</v>
      </c>
      <c r="D46" t="s">
        <v>142</v>
      </c>
      <c r="O46" s="1" t="s">
        <v>157</v>
      </c>
      <c r="P46" t="s">
        <v>239</v>
      </c>
    </row>
    <row r="47" spans="1:16" x14ac:dyDescent="0.25">
      <c r="A47" t="s">
        <v>158</v>
      </c>
      <c r="B47" t="s">
        <v>1</v>
      </c>
      <c r="C47" t="s">
        <v>145</v>
      </c>
      <c r="D47" t="s">
        <v>25</v>
      </c>
      <c r="O47" s="1" t="s">
        <v>159</v>
      </c>
      <c r="P47" t="s">
        <v>237</v>
      </c>
    </row>
    <row r="48" spans="1:16" x14ac:dyDescent="0.25">
      <c r="A48" t="s">
        <v>160</v>
      </c>
      <c r="B48" t="s">
        <v>1</v>
      </c>
      <c r="C48" t="s">
        <v>145</v>
      </c>
      <c r="D48" t="s">
        <v>28</v>
      </c>
      <c r="O48" s="1" t="s">
        <v>161</v>
      </c>
      <c r="P48" t="s">
        <v>240</v>
      </c>
    </row>
    <row r="49" spans="1:16" x14ac:dyDescent="0.25">
      <c r="A49" t="s">
        <v>162</v>
      </c>
      <c r="B49" t="s">
        <v>1</v>
      </c>
      <c r="C49" t="s">
        <v>145</v>
      </c>
      <c r="D49" t="s">
        <v>31</v>
      </c>
      <c r="O49" s="1" t="s">
        <v>1</v>
      </c>
      <c r="P49" t="s">
        <v>241</v>
      </c>
    </row>
    <row r="50" spans="1:16" x14ac:dyDescent="0.25">
      <c r="A50" t="s">
        <v>163</v>
      </c>
      <c r="B50" t="s">
        <v>1</v>
      </c>
      <c r="C50" t="s">
        <v>145</v>
      </c>
      <c r="D50" t="s">
        <v>34</v>
      </c>
      <c r="O50" s="1" t="s">
        <v>164</v>
      </c>
      <c r="P50" t="s">
        <v>243</v>
      </c>
    </row>
    <row r="51" spans="1:16" x14ac:dyDescent="0.25">
      <c r="A51" t="s">
        <v>165</v>
      </c>
      <c r="B51" t="s">
        <v>37</v>
      </c>
      <c r="C51" t="s">
        <v>141</v>
      </c>
      <c r="D51" t="s">
        <v>142</v>
      </c>
      <c r="O51" s="1" t="s">
        <v>166</v>
      </c>
      <c r="P51" t="s">
        <v>244</v>
      </c>
    </row>
    <row r="52" spans="1:16" x14ac:dyDescent="0.25">
      <c r="A52" t="s">
        <v>167</v>
      </c>
      <c r="B52" t="s">
        <v>1</v>
      </c>
      <c r="C52" t="s">
        <v>168</v>
      </c>
      <c r="D52" t="s">
        <v>6</v>
      </c>
      <c r="O52" s="1" t="s">
        <v>169</v>
      </c>
      <c r="P52" t="s">
        <v>245</v>
      </c>
    </row>
    <row r="53" spans="1:16" x14ac:dyDescent="0.25">
      <c r="A53" t="s">
        <v>170</v>
      </c>
      <c r="B53" t="s">
        <v>1</v>
      </c>
      <c r="C53" t="s">
        <v>168</v>
      </c>
      <c r="D53" t="s">
        <v>10</v>
      </c>
      <c r="O53" s="1" t="s">
        <v>171</v>
      </c>
      <c r="P53" s="6" t="s">
        <v>246</v>
      </c>
    </row>
    <row r="54" spans="1:16" x14ac:dyDescent="0.25">
      <c r="A54" t="s">
        <v>172</v>
      </c>
      <c r="B54" t="s">
        <v>1</v>
      </c>
      <c r="C54" t="s">
        <v>168</v>
      </c>
      <c r="D54" t="s">
        <v>14</v>
      </c>
      <c r="O54" s="1" t="s">
        <v>173</v>
      </c>
      <c r="P54" t="s">
        <v>247</v>
      </c>
    </row>
    <row r="55" spans="1:16" x14ac:dyDescent="0.25">
      <c r="A55" t="s">
        <v>174</v>
      </c>
      <c r="B55" t="s">
        <v>1</v>
      </c>
      <c r="C55" t="s">
        <v>168</v>
      </c>
      <c r="D55" t="s">
        <v>18</v>
      </c>
    </row>
    <row r="56" spans="1:16" x14ac:dyDescent="0.25">
      <c r="A56" t="s">
        <v>175</v>
      </c>
      <c r="B56" t="s">
        <v>21</v>
      </c>
      <c r="C56" t="s">
        <v>141</v>
      </c>
      <c r="D56" t="s">
        <v>142</v>
      </c>
    </row>
    <row r="57" spans="1:16" x14ac:dyDescent="0.25">
      <c r="A57" t="s">
        <v>176</v>
      </c>
      <c r="B57" t="s">
        <v>1</v>
      </c>
      <c r="C57" t="s">
        <v>168</v>
      </c>
      <c r="D57" t="s">
        <v>25</v>
      </c>
    </row>
    <row r="58" spans="1:16" x14ac:dyDescent="0.25">
      <c r="A58" t="s">
        <v>177</v>
      </c>
      <c r="B58" t="s">
        <v>1</v>
      </c>
      <c r="C58" t="s">
        <v>168</v>
      </c>
      <c r="D58" t="s">
        <v>28</v>
      </c>
    </row>
    <row r="59" spans="1:16" x14ac:dyDescent="0.25">
      <c r="A59" t="s">
        <v>178</v>
      </c>
      <c r="B59" t="s">
        <v>1</v>
      </c>
      <c r="C59" t="s">
        <v>168</v>
      </c>
      <c r="D59" t="s">
        <v>31</v>
      </c>
    </row>
    <row r="60" spans="1:16" x14ac:dyDescent="0.25">
      <c r="A60" t="s">
        <v>179</v>
      </c>
      <c r="B60" t="s">
        <v>1</v>
      </c>
      <c r="C60" t="s">
        <v>168</v>
      </c>
      <c r="D60" t="s">
        <v>34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F46B-BD0C-4AF8-9BB8-27411F685027}">
  <dimension ref="A1:I53"/>
  <sheetViews>
    <sheetView workbookViewId="0">
      <selection activeCell="H18" sqref="H18:H20"/>
    </sheetView>
  </sheetViews>
  <sheetFormatPr defaultRowHeight="15" x14ac:dyDescent="0.25"/>
  <cols>
    <col min="1" max="1" width="13.140625" customWidth="1"/>
  </cols>
  <sheetData>
    <row r="1" spans="1:9" x14ac:dyDescent="0.25">
      <c r="A1" t="s">
        <v>197</v>
      </c>
      <c r="B1" t="s">
        <v>164</v>
      </c>
      <c r="C1" t="s">
        <v>183</v>
      </c>
    </row>
    <row r="2" spans="1:9" x14ac:dyDescent="0.25">
      <c r="B2" t="s">
        <v>169</v>
      </c>
      <c r="C2" t="s">
        <v>183</v>
      </c>
      <c r="H2" t="s">
        <v>249</v>
      </c>
      <c r="I2" t="s">
        <v>200</v>
      </c>
    </row>
    <row r="3" spans="1:9" x14ac:dyDescent="0.25">
      <c r="B3" t="s">
        <v>161</v>
      </c>
      <c r="C3" t="s">
        <v>193</v>
      </c>
      <c r="H3" s="1" t="s">
        <v>275</v>
      </c>
      <c r="I3" t="s">
        <v>245</v>
      </c>
    </row>
    <row r="4" spans="1:9" x14ac:dyDescent="0.25">
      <c r="B4" t="s">
        <v>67</v>
      </c>
      <c r="C4" t="s">
        <v>193</v>
      </c>
      <c r="H4" s="1" t="s">
        <v>276</v>
      </c>
      <c r="I4" t="s">
        <v>250</v>
      </c>
    </row>
    <row r="5" spans="1:9" x14ac:dyDescent="0.25">
      <c r="B5" t="s">
        <v>180</v>
      </c>
      <c r="C5" t="s">
        <v>193</v>
      </c>
      <c r="H5" s="1" t="s">
        <v>277</v>
      </c>
      <c r="I5" t="s">
        <v>269</v>
      </c>
    </row>
    <row r="6" spans="1:9" x14ac:dyDescent="0.25">
      <c r="B6" t="s">
        <v>181</v>
      </c>
      <c r="C6" t="s">
        <v>184</v>
      </c>
      <c r="H6" s="1" t="s">
        <v>278</v>
      </c>
      <c r="I6" t="s">
        <v>258</v>
      </c>
    </row>
    <row r="7" spans="1:9" x14ac:dyDescent="0.25">
      <c r="B7" t="s">
        <v>182</v>
      </c>
      <c r="C7" t="s">
        <v>185</v>
      </c>
      <c r="H7" s="1" t="s">
        <v>279</v>
      </c>
      <c r="I7" t="s">
        <v>251</v>
      </c>
    </row>
    <row r="8" spans="1:9" x14ac:dyDescent="0.25">
      <c r="B8" t="s">
        <v>186</v>
      </c>
      <c r="C8" t="s">
        <v>188</v>
      </c>
      <c r="H8" s="7" t="s">
        <v>280</v>
      </c>
      <c r="I8" t="s">
        <v>262</v>
      </c>
    </row>
    <row r="9" spans="1:9" x14ac:dyDescent="0.25">
      <c r="B9" t="s">
        <v>187</v>
      </c>
      <c r="C9" t="s">
        <v>188</v>
      </c>
      <c r="H9" s="1" t="s">
        <v>281</v>
      </c>
      <c r="I9" t="s">
        <v>266</v>
      </c>
    </row>
    <row r="10" spans="1:9" x14ac:dyDescent="0.25">
      <c r="B10" t="s">
        <v>189</v>
      </c>
      <c r="C10" t="s">
        <v>184</v>
      </c>
      <c r="H10" s="1" t="s">
        <v>282</v>
      </c>
      <c r="I10" t="s">
        <v>257</v>
      </c>
    </row>
    <row r="11" spans="1:9" x14ac:dyDescent="0.25">
      <c r="H11" s="1" t="s">
        <v>283</v>
      </c>
      <c r="I11" t="s">
        <v>253</v>
      </c>
    </row>
    <row r="12" spans="1:9" x14ac:dyDescent="0.25">
      <c r="A12" t="s">
        <v>196</v>
      </c>
      <c r="B12" t="s">
        <v>190</v>
      </c>
      <c r="C12" s="2" t="s">
        <v>192</v>
      </c>
      <c r="H12" s="1" t="s">
        <v>284</v>
      </c>
      <c r="I12" t="s">
        <v>256</v>
      </c>
    </row>
    <row r="13" spans="1:9" x14ac:dyDescent="0.25">
      <c r="B13" t="s">
        <v>191</v>
      </c>
      <c r="C13" t="s">
        <v>184</v>
      </c>
      <c r="H13" s="1" t="s">
        <v>285</v>
      </c>
      <c r="I13" t="s">
        <v>259</v>
      </c>
    </row>
    <row r="14" spans="1:9" x14ac:dyDescent="0.25">
      <c r="B14" t="s">
        <v>194</v>
      </c>
      <c r="C14" t="s">
        <v>195</v>
      </c>
      <c r="H14" s="1" t="s">
        <v>286</v>
      </c>
      <c r="I14" t="s">
        <v>261</v>
      </c>
    </row>
    <row r="15" spans="1:9" x14ac:dyDescent="0.25">
      <c r="A15" s="3" t="s">
        <v>198</v>
      </c>
      <c r="H15" s="5" t="s">
        <v>287</v>
      </c>
      <c r="I15" t="s">
        <v>252</v>
      </c>
    </row>
    <row r="16" spans="1:9" x14ac:dyDescent="0.25">
      <c r="A16" t="s">
        <v>199</v>
      </c>
      <c r="B16" t="s">
        <v>272</v>
      </c>
      <c r="C16" t="s">
        <v>296</v>
      </c>
      <c r="H16" s="5" t="s">
        <v>288</v>
      </c>
      <c r="I16" t="s">
        <v>255</v>
      </c>
    </row>
    <row r="17" spans="2:9" x14ac:dyDescent="0.25">
      <c r="B17" t="s">
        <v>270</v>
      </c>
      <c r="C17" s="6" t="s">
        <v>271</v>
      </c>
      <c r="H17" s="5" t="s">
        <v>289</v>
      </c>
      <c r="I17" t="s">
        <v>264</v>
      </c>
    </row>
    <row r="18" spans="2:9" x14ac:dyDescent="0.25">
      <c r="B18" t="s">
        <v>272</v>
      </c>
      <c r="H18" s="8" t="s">
        <v>290</v>
      </c>
      <c r="I18" t="s">
        <v>268</v>
      </c>
    </row>
    <row r="19" spans="2:9" x14ac:dyDescent="0.25">
      <c r="B19" t="s">
        <v>273</v>
      </c>
      <c r="C19" s="6"/>
      <c r="H19" s="8" t="s">
        <v>291</v>
      </c>
      <c r="I19" t="s">
        <v>254</v>
      </c>
    </row>
    <row r="20" spans="2:9" x14ac:dyDescent="0.25">
      <c r="B20" t="s">
        <v>274</v>
      </c>
      <c r="H20" s="8" t="s">
        <v>292</v>
      </c>
      <c r="I20" t="s">
        <v>265</v>
      </c>
    </row>
    <row r="21" spans="2:9" x14ac:dyDescent="0.25">
      <c r="B21" t="s">
        <v>273</v>
      </c>
      <c r="C21" s="6"/>
      <c r="H21" s="1" t="s">
        <v>293</v>
      </c>
      <c r="I21" t="s">
        <v>263</v>
      </c>
    </row>
    <row r="22" spans="2:9" x14ac:dyDescent="0.25">
      <c r="B22" t="s">
        <v>274</v>
      </c>
      <c r="H22" s="8" t="s">
        <v>294</v>
      </c>
      <c r="I22" t="s">
        <v>267</v>
      </c>
    </row>
    <row r="23" spans="2:9" x14ac:dyDescent="0.25">
      <c r="B23" t="s">
        <v>297</v>
      </c>
      <c r="H23" s="8" t="s">
        <v>295</v>
      </c>
      <c r="I23" t="s">
        <v>260</v>
      </c>
    </row>
    <row r="53" spans="6:6" x14ac:dyDescent="0.25">
      <c r="F5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time_text</vt:lpstr>
      <vt:lpstr>rectangles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Kiser, Noah</dc:creator>
  <dc:description/>
  <cp:lastModifiedBy>Kiser, Noah</cp:lastModifiedBy>
  <cp:revision>1</cp:revision>
  <dcterms:created xsi:type="dcterms:W3CDTF">2026-07-06T19:02:40Z</dcterms:created>
  <dcterms:modified xsi:type="dcterms:W3CDTF">2026-07-29T20:29:57Z</dcterms:modified>
  <dc:language>en-US</dc:language>
</cp:coreProperties>
</file>